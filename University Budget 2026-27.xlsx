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U\Desktop\Budget\Budget 26-27\"/>
    </mc:Choice>
  </mc:AlternateContent>
  <xr:revisionPtr revIDLastSave="0" documentId="13_ncr:1_{C03C0E88-D6B2-4246-815F-7C73750CE6B4}" xr6:coauthVersionLast="47" xr6:coauthVersionMax="47" xr10:uidLastSave="{00000000-0000-0000-0000-000000000000}"/>
  <bookViews>
    <workbookView xWindow="-120" yWindow="-120" windowWidth="29040" windowHeight="15720" activeTab="6" xr2:uid="{00000000-000D-0000-FFFF-FFFF00000000}"/>
  </bookViews>
  <sheets>
    <sheet name="Prop. Budg." sheetId="1" r:id="rId1"/>
    <sheet name="Sheet1" sheetId="23" r:id="rId2"/>
    <sheet name="Sheet2" sheetId="24" r:id="rId3"/>
    <sheet name="Eng" sheetId="20" r:id="rId4"/>
    <sheet name="DO" sheetId="3" r:id="rId5"/>
    <sheet name="CoE" sheetId="4" r:id="rId6"/>
    <sheet name="CSE &amp; Allied" sheetId="5" r:id="rId7"/>
    <sheet name="Phy" sheetId="6" r:id="rId8"/>
    <sheet name="RO" sheetId="7" r:id="rId9"/>
    <sheet name="PE" sheetId="8" r:id="rId10"/>
    <sheet name="Proc." sheetId="9" r:id="rId11"/>
    <sheet name="Chem." sheetId="10" r:id="rId12"/>
    <sheet name="CETLI" sheetId="11" r:id="rId13"/>
    <sheet name="EECE" sheetId="12" r:id="rId14"/>
    <sheet name="Lib." sheetId="13" r:id="rId15"/>
    <sheet name="R&amp;D" sheetId="14" r:id="rId16"/>
    <sheet name="SDC" sheetId="15" r:id="rId17"/>
    <sheet name="SA" sheetId="16" r:id="rId18"/>
    <sheet name="SAP." sheetId="17" r:id="rId19"/>
    <sheet name="ICT" sheetId="18" r:id="rId20"/>
    <sheet name="VC Office" sheetId="19" r:id="rId21"/>
    <sheet name="Maths" sheetId="21" r:id="rId22"/>
    <sheet name="IIR" sheetId="22"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5" l="1"/>
  <c r="H35" i="5"/>
  <c r="H33" i="5"/>
  <c r="H18" i="5"/>
  <c r="H17" i="5"/>
  <c r="H11" i="5"/>
  <c r="H8" i="5"/>
  <c r="H108" i="5" s="1"/>
  <c r="AD8" i="23"/>
  <c r="AD9" i="23"/>
  <c r="AD10" i="23"/>
  <c r="AD11" i="23"/>
  <c r="AD12" i="23"/>
  <c r="AD13" i="23"/>
  <c r="AD14" i="23"/>
  <c r="AD15" i="23"/>
  <c r="AD16" i="23"/>
  <c r="AD17" i="23"/>
  <c r="AD18" i="23"/>
  <c r="AD19" i="23"/>
  <c r="AD20" i="23"/>
  <c r="AD21" i="23"/>
  <c r="AD22" i="23"/>
  <c r="AD23" i="23"/>
  <c r="AD7" i="23"/>
  <c r="W8" i="23"/>
  <c r="W9" i="23"/>
  <c r="W10" i="23"/>
  <c r="W11" i="23"/>
  <c r="W12" i="23"/>
  <c r="W13" i="23"/>
  <c r="W14" i="23"/>
  <c r="W15" i="23"/>
  <c r="W16" i="23"/>
  <c r="W17" i="23"/>
  <c r="W18" i="23"/>
  <c r="W19" i="23"/>
  <c r="W20" i="23"/>
  <c r="W22" i="23"/>
  <c r="W23" i="23"/>
  <c r="W7" i="23"/>
  <c r="I19" i="24"/>
  <c r="I18" i="24"/>
  <c r="I17" i="24"/>
  <c r="I16" i="24"/>
  <c r="I15" i="24"/>
  <c r="I14" i="24"/>
  <c r="I13" i="24"/>
  <c r="I12" i="24"/>
  <c r="I11" i="24"/>
  <c r="F130" i="24"/>
  <c r="Q8" i="23"/>
  <c r="Q9" i="23"/>
  <c r="Q10" i="23"/>
  <c r="Q11" i="23"/>
  <c r="Q12" i="23"/>
  <c r="Q13" i="23"/>
  <c r="Q14" i="23"/>
  <c r="Q15" i="23"/>
  <c r="Q16" i="23"/>
  <c r="Q17" i="23"/>
  <c r="Q18" i="23"/>
  <c r="Q19" i="23"/>
  <c r="Q21" i="23"/>
  <c r="Q22" i="23"/>
  <c r="AE22" i="23" s="1"/>
  <c r="Q23" i="23"/>
  <c r="Q7" i="23"/>
  <c r="I22" i="24"/>
  <c r="I21" i="24"/>
  <c r="I10" i="24"/>
  <c r="I9" i="24"/>
  <c r="I7" i="24"/>
  <c r="I6" i="24"/>
  <c r="K8" i="23"/>
  <c r="K9" i="23"/>
  <c r="K10" i="23"/>
  <c r="K11" i="23"/>
  <c r="K12" i="23"/>
  <c r="K13" i="23"/>
  <c r="K14" i="23"/>
  <c r="K15" i="23"/>
  <c r="K16" i="23"/>
  <c r="K17" i="23"/>
  <c r="K18" i="23"/>
  <c r="K19" i="23"/>
  <c r="K20" i="23"/>
  <c r="K22" i="23"/>
  <c r="K23" i="23"/>
  <c r="E21" i="23"/>
  <c r="K21" i="23" s="1"/>
  <c r="K7" i="23"/>
  <c r="AE60" i="23"/>
  <c r="AE56" i="23"/>
  <c r="AE57" i="23"/>
  <c r="AE58" i="23"/>
  <c r="AE59" i="23"/>
  <c r="AF135" i="23"/>
  <c r="J130" i="24"/>
  <c r="G130" i="24"/>
  <c r="E130" i="24"/>
  <c r="I128" i="24"/>
  <c r="H124" i="24"/>
  <c r="H130" i="24" s="1"/>
  <c r="G124" i="24"/>
  <c r="F124" i="24"/>
  <c r="E124" i="24"/>
  <c r="I119" i="24"/>
  <c r="I118" i="24"/>
  <c r="I117" i="24"/>
  <c r="I116" i="24"/>
  <c r="I111" i="24"/>
  <c r="I110" i="24"/>
  <c r="I109" i="24"/>
  <c r="I108" i="24"/>
  <c r="I105" i="24"/>
  <c r="I104" i="24"/>
  <c r="I103" i="24"/>
  <c r="I102" i="24"/>
  <c r="I101" i="24"/>
  <c r="I100" i="24"/>
  <c r="I89" i="24"/>
  <c r="I88" i="24"/>
  <c r="I87" i="24"/>
  <c r="I86" i="24"/>
  <c r="I85" i="24"/>
  <c r="I84" i="24"/>
  <c r="I83" i="24"/>
  <c r="I82" i="24"/>
  <c r="I81" i="24"/>
  <c r="I80" i="24"/>
  <c r="I79" i="24"/>
  <c r="I78" i="24"/>
  <c r="I77" i="24"/>
  <c r="I76" i="24"/>
  <c r="I75" i="24"/>
  <c r="I74" i="24"/>
  <c r="I73" i="24"/>
  <c r="I72" i="24"/>
  <c r="I71" i="24"/>
  <c r="I70" i="24"/>
  <c r="I69" i="24"/>
  <c r="I68" i="24"/>
  <c r="I67" i="24"/>
  <c r="I66" i="24"/>
  <c r="I65" i="24"/>
  <c r="I64" i="24"/>
  <c r="I63" i="24"/>
  <c r="I62" i="24"/>
  <c r="I61" i="24"/>
  <c r="I60" i="24"/>
  <c r="I59" i="24"/>
  <c r="I58" i="24"/>
  <c r="I57" i="24"/>
  <c r="I56" i="24"/>
  <c r="I55" i="24"/>
  <c r="I54" i="24"/>
  <c r="I53" i="24"/>
  <c r="I52" i="24"/>
  <c r="I51" i="24"/>
  <c r="I50" i="24"/>
  <c r="I49" i="24"/>
  <c r="I48" i="24"/>
  <c r="I47" i="24"/>
  <c r="I46" i="24"/>
  <c r="I45" i="24"/>
  <c r="I44" i="24"/>
  <c r="I39" i="24"/>
  <c r="I38" i="24"/>
  <c r="I37" i="24"/>
  <c r="I36" i="24"/>
  <c r="I35" i="24"/>
  <c r="I34" i="24"/>
  <c r="I33" i="24"/>
  <c r="I32" i="24"/>
  <c r="I31" i="24"/>
  <c r="I30" i="24"/>
  <c r="I29" i="24"/>
  <c r="I28" i="24"/>
  <c r="I27" i="24"/>
  <c r="I26" i="24"/>
  <c r="I25" i="24"/>
  <c r="I24" i="24"/>
  <c r="I23" i="24"/>
  <c r="I20" i="24"/>
  <c r="I8" i="24"/>
  <c r="AE134" i="23"/>
  <c r="AE133" i="23"/>
  <c r="AE132" i="23"/>
  <c r="AE131" i="23"/>
  <c r="AE130" i="23"/>
  <c r="X129" i="23"/>
  <c r="R129" i="23"/>
  <c r="L129" i="23"/>
  <c r="E129" i="23"/>
  <c r="AE128" i="23"/>
  <c r="AE127" i="23"/>
  <c r="AE126" i="23"/>
  <c r="AE125" i="23"/>
  <c r="AE124" i="23"/>
  <c r="AE123" i="23"/>
  <c r="AE122" i="23"/>
  <c r="AE121" i="23"/>
  <c r="AE120" i="23"/>
  <c r="AE119" i="23"/>
  <c r="AE118" i="23"/>
  <c r="AE117" i="23"/>
  <c r="AE116" i="23"/>
  <c r="AE115" i="23"/>
  <c r="AE114" i="23"/>
  <c r="AE113" i="23"/>
  <c r="AE112" i="23"/>
  <c r="AE111" i="23"/>
  <c r="AE110" i="23"/>
  <c r="AE109" i="23"/>
  <c r="AE108" i="23"/>
  <c r="AE107" i="23"/>
  <c r="AE106" i="23"/>
  <c r="AE105" i="23"/>
  <c r="AE104" i="23"/>
  <c r="AE103" i="23"/>
  <c r="AE102" i="23"/>
  <c r="AE101" i="23"/>
  <c r="AE100" i="23"/>
  <c r="AE99" i="23"/>
  <c r="AE98" i="23"/>
  <c r="AE97" i="23"/>
  <c r="AE96" i="23"/>
  <c r="AE95" i="23"/>
  <c r="AE94" i="23"/>
  <c r="AE93" i="23"/>
  <c r="AE92" i="23"/>
  <c r="AE91" i="23"/>
  <c r="AE90" i="23"/>
  <c r="AE89" i="23"/>
  <c r="AE88" i="23"/>
  <c r="AE87" i="23"/>
  <c r="AE86" i="23"/>
  <c r="AE85" i="23"/>
  <c r="AE84" i="23"/>
  <c r="AE83" i="23"/>
  <c r="AE82" i="23"/>
  <c r="AE81" i="23"/>
  <c r="AE80" i="23"/>
  <c r="AE79" i="23"/>
  <c r="AE78" i="23"/>
  <c r="AE77" i="23"/>
  <c r="AE76" i="23"/>
  <c r="AE75" i="23"/>
  <c r="AE74" i="23"/>
  <c r="AE73" i="23"/>
  <c r="AE72" i="23"/>
  <c r="AE71" i="23"/>
  <c r="AE70" i="23"/>
  <c r="AE69" i="23"/>
  <c r="AE68" i="23"/>
  <c r="AE67" i="23"/>
  <c r="AE66" i="23"/>
  <c r="AE65" i="23"/>
  <c r="AE64" i="23"/>
  <c r="AE63" i="23"/>
  <c r="AE62" i="23"/>
  <c r="AE61" i="23"/>
  <c r="AE55" i="23"/>
  <c r="AE54" i="23"/>
  <c r="AE53" i="23"/>
  <c r="AE52" i="23"/>
  <c r="AE51" i="23"/>
  <c r="AE50" i="23"/>
  <c r="AE49" i="23"/>
  <c r="AE48" i="23"/>
  <c r="AE47" i="23"/>
  <c r="AE46" i="23"/>
  <c r="AE45" i="23"/>
  <c r="AE40" i="23"/>
  <c r="AE39" i="23"/>
  <c r="AE38" i="23"/>
  <c r="AE37" i="23"/>
  <c r="AE36" i="23"/>
  <c r="AE35" i="23"/>
  <c r="AE34" i="23"/>
  <c r="AE33" i="23"/>
  <c r="AE32" i="23"/>
  <c r="AE31" i="23"/>
  <c r="AE30" i="23"/>
  <c r="AE29" i="23"/>
  <c r="AE28" i="23"/>
  <c r="AE27" i="23"/>
  <c r="AE26" i="23"/>
  <c r="AE25" i="23"/>
  <c r="AE24" i="23"/>
  <c r="X21" i="23"/>
  <c r="R21" i="23"/>
  <c r="W21" i="23" s="1"/>
  <c r="L21" i="23"/>
  <c r="X20" i="23"/>
  <c r="L20" i="23"/>
  <c r="Q20" i="23" s="1"/>
  <c r="I124" i="1"/>
  <c r="F55" i="7"/>
  <c r="G55" i="7"/>
  <c r="H55" i="7"/>
  <c r="I112" i="1"/>
  <c r="H111" i="1"/>
  <c r="G111" i="1"/>
  <c r="F111" i="1"/>
  <c r="E111" i="1"/>
  <c r="I111" i="1" s="1"/>
  <c r="H18" i="15"/>
  <c r="H17" i="15"/>
  <c r="H16" i="15"/>
  <c r="H15" i="15"/>
  <c r="H14" i="15"/>
  <c r="H13" i="15"/>
  <c r="H12" i="15"/>
  <c r="H11" i="15"/>
  <c r="H10" i="15"/>
  <c r="H9" i="15"/>
  <c r="H8" i="15"/>
  <c r="H7" i="15"/>
  <c r="H6" i="15"/>
  <c r="H5" i="15"/>
  <c r="H4" i="15"/>
  <c r="H20" i="15" s="1"/>
  <c r="I118" i="1"/>
  <c r="H133" i="6"/>
  <c r="G133" i="6"/>
  <c r="AE16" i="23" l="1"/>
  <c r="AE9" i="23"/>
  <c r="AE23" i="23"/>
  <c r="AE8" i="23"/>
  <c r="AE12" i="23"/>
  <c r="AE10" i="23"/>
  <c r="AE11" i="23"/>
  <c r="AE15" i="23"/>
  <c r="AE14" i="23"/>
  <c r="AE19" i="23"/>
  <c r="AE18" i="23"/>
  <c r="AE17" i="23"/>
  <c r="AE13" i="23"/>
  <c r="AE7" i="23"/>
  <c r="AE21" i="23"/>
  <c r="AE20" i="23"/>
  <c r="AE129" i="23"/>
  <c r="I130" i="24"/>
  <c r="I124" i="24"/>
  <c r="J129" i="1"/>
  <c r="AE135" i="23" l="1"/>
  <c r="I10" i="1"/>
  <c r="I78" i="1" l="1"/>
  <c r="I83" i="1"/>
  <c r="I82" i="1"/>
  <c r="I92" i="1"/>
  <c r="I91" i="1"/>
  <c r="I90" i="1"/>
  <c r="I89" i="1"/>
  <c r="I88" i="1"/>
  <c r="I87" i="1"/>
  <c r="I86" i="1"/>
  <c r="I85" i="1"/>
  <c r="I84" i="1"/>
  <c r="H14" i="19" l="1"/>
  <c r="H13" i="19"/>
  <c r="H12" i="19"/>
  <c r="H11" i="19"/>
  <c r="H10" i="19"/>
  <c r="H9" i="19"/>
  <c r="H8" i="19"/>
  <c r="H7" i="19"/>
  <c r="H6" i="19"/>
  <c r="H5" i="19"/>
  <c r="H4" i="19"/>
  <c r="H15" i="19" s="1"/>
  <c r="G28" i="18"/>
  <c r="D27" i="18"/>
  <c r="C27" i="18"/>
  <c r="G27" i="18" s="1"/>
  <c r="C26" i="18"/>
  <c r="B26" i="18"/>
  <c r="G26" i="18" s="1"/>
  <c r="B25" i="18"/>
  <c r="G25" i="18" s="1"/>
  <c r="C24" i="18"/>
  <c r="B24" i="18"/>
  <c r="G24" i="18" s="1"/>
  <c r="C23" i="18"/>
  <c r="G23" i="18" s="1"/>
  <c r="C22" i="18"/>
  <c r="B22" i="18"/>
  <c r="C21" i="18"/>
  <c r="B21" i="18"/>
  <c r="G21" i="18" s="1"/>
  <c r="C20" i="18"/>
  <c r="B20" i="18"/>
  <c r="G20" i="18" s="1"/>
  <c r="N19" i="18"/>
  <c r="C19" i="18"/>
  <c r="B19" i="18"/>
  <c r="G19" i="18" s="1"/>
  <c r="N18" i="18"/>
  <c r="C18" i="18"/>
  <c r="B18" i="18"/>
  <c r="G18" i="18" s="1"/>
  <c r="N17" i="18"/>
  <c r="N15" i="18"/>
  <c r="G15" i="18"/>
  <c r="E14" i="18"/>
  <c r="D14" i="18"/>
  <c r="E13" i="18"/>
  <c r="D13" i="18"/>
  <c r="G13" i="18" s="1"/>
  <c r="E12" i="18"/>
  <c r="D12" i="18"/>
  <c r="C12" i="18"/>
  <c r="G11" i="18"/>
  <c r="G10" i="18"/>
  <c r="G9" i="18"/>
  <c r="F29" i="17"/>
  <c r="E29" i="17"/>
  <c r="D29" i="17"/>
  <c r="C29" i="17"/>
  <c r="B29" i="17"/>
  <c r="B31" i="17" s="1"/>
  <c r="C28" i="17"/>
  <c r="G28" i="17" s="1"/>
  <c r="G25" i="17"/>
  <c r="G24" i="17"/>
  <c r="G23" i="17"/>
  <c r="G22" i="17"/>
  <c r="G21" i="17"/>
  <c r="G20" i="17"/>
  <c r="G19" i="17"/>
  <c r="G18" i="17"/>
  <c r="G17" i="17"/>
  <c r="G16" i="17"/>
  <c r="D15" i="17"/>
  <c r="C15" i="17"/>
  <c r="F14" i="17"/>
  <c r="E14" i="17"/>
  <c r="D14" i="17"/>
  <c r="C14" i="17"/>
  <c r="G14" i="17" s="1"/>
  <c r="B14" i="17"/>
  <c r="F13" i="17"/>
  <c r="E13" i="17"/>
  <c r="D13" i="17"/>
  <c r="C13" i="17"/>
  <c r="C12" i="17"/>
  <c r="G12" i="17" s="1"/>
  <c r="F11" i="17"/>
  <c r="E11" i="17"/>
  <c r="D11" i="17"/>
  <c r="C11" i="17"/>
  <c r="G11" i="17" s="1"/>
  <c r="B11" i="17"/>
  <c r="F10" i="17"/>
  <c r="E10" i="17"/>
  <c r="D10" i="17"/>
  <c r="C10" i="17"/>
  <c r="B10" i="17"/>
  <c r="G9" i="17"/>
  <c r="B9" i="17"/>
  <c r="G14" i="18" l="1"/>
  <c r="B26" i="17"/>
  <c r="B33" i="17" s="1"/>
  <c r="G10" i="17"/>
  <c r="G15" i="17"/>
  <c r="G29" i="17"/>
  <c r="G31" i="17"/>
  <c r="G13" i="17"/>
  <c r="G12" i="18"/>
  <c r="G22" i="18"/>
  <c r="G29" i="18" s="1"/>
  <c r="G16" i="18"/>
  <c r="G26" i="17" l="1"/>
  <c r="G33" i="17" s="1"/>
  <c r="G31" i="18"/>
  <c r="H13" i="14" l="1"/>
  <c r="H113" i="9"/>
  <c r="H112" i="9"/>
  <c r="H111" i="9"/>
  <c r="H110" i="9"/>
  <c r="H109" i="9"/>
  <c r="H108" i="9"/>
  <c r="H107" i="9"/>
  <c r="H106" i="9"/>
  <c r="H8" i="8"/>
  <c r="H43" i="7" l="1"/>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I72" i="4" l="1"/>
  <c r="I71" i="4"/>
  <c r="I70" i="4"/>
  <c r="I69" i="4"/>
  <c r="G69" i="4"/>
  <c r="I68" i="4"/>
  <c r="I67" i="4"/>
  <c r="I66" i="4"/>
  <c r="I65" i="4"/>
  <c r="I64" i="4"/>
  <c r="G64" i="4"/>
  <c r="I63" i="4"/>
  <c r="G63" i="4"/>
  <c r="I62" i="4"/>
  <c r="I61" i="4"/>
  <c r="I60" i="4"/>
  <c r="I59" i="4"/>
  <c r="I58" i="4"/>
  <c r="I57" i="4"/>
  <c r="I56" i="4"/>
  <c r="I55" i="4"/>
  <c r="G55" i="4"/>
  <c r="I54" i="4"/>
  <c r="I53" i="4"/>
  <c r="G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1" i="4"/>
  <c r="I10" i="4"/>
  <c r="I9" i="4"/>
  <c r="I8" i="4"/>
  <c r="I7" i="4"/>
  <c r="I6" i="4"/>
  <c r="I5" i="4"/>
  <c r="I4" i="4"/>
  <c r="I75" i="4" s="1"/>
  <c r="H59" i="3" l="1"/>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I64" i="1"/>
  <c r="I65" i="1"/>
  <c r="I66" i="1"/>
  <c r="I63" i="1"/>
  <c r="I50" i="1" l="1"/>
  <c r="I49" i="1"/>
  <c r="I48" i="1"/>
  <c r="I47" i="1"/>
  <c r="I54" i="1" l="1"/>
  <c r="I53" i="1"/>
  <c r="I52" i="1"/>
  <c r="I51" i="1"/>
  <c r="I62" i="1" l="1"/>
  <c r="I61" i="1"/>
  <c r="I60" i="1"/>
  <c r="I59" i="1"/>
  <c r="I68" i="1"/>
  <c r="I69" i="1"/>
  <c r="I70" i="1"/>
  <c r="I71" i="1"/>
  <c r="I72" i="1"/>
  <c r="I73" i="1"/>
  <c r="I74" i="1"/>
  <c r="I75" i="1"/>
  <c r="I76" i="1"/>
  <c r="I67" i="1"/>
  <c r="I81" i="1"/>
  <c r="I80" i="1"/>
  <c r="I79" i="1"/>
  <c r="I77" i="1"/>
  <c r="H129" i="1" l="1"/>
  <c r="G129" i="1"/>
  <c r="F129" i="1"/>
  <c r="I37" i="1"/>
  <c r="I38" i="1"/>
  <c r="I39" i="1"/>
  <c r="I40" i="1"/>
  <c r="I41" i="1"/>
  <c r="I36" i="1"/>
  <c r="I116" i="1"/>
  <c r="I115" i="1"/>
  <c r="I128" i="1"/>
  <c r="I127" i="1"/>
  <c r="I129" i="1" l="1"/>
  <c r="E129" i="1"/>
  <c r="I105" i="1"/>
</calcChain>
</file>

<file path=xl/sharedStrings.xml><?xml version="1.0" encoding="utf-8"?>
<sst xmlns="http://schemas.openxmlformats.org/spreadsheetml/2006/main" count="2924" uniqueCount="861">
  <si>
    <r>
      <rPr>
        <sz val="14"/>
        <color rgb="FFFF0000"/>
        <rFont val="Times New Roman"/>
        <family val="1"/>
      </rPr>
      <t>Date: xx.xx.xxxx</t>
    </r>
  </si>
  <si>
    <r>
      <t xml:space="preserve">Summary of the Proposed Budget for the Current year </t>
    </r>
    <r>
      <rPr>
        <b/>
        <sz val="12"/>
        <color rgb="FFFF0000"/>
        <rFont val="Times New Roman"/>
        <family val="1"/>
      </rPr>
      <t xml:space="preserve">(2026-27) </t>
    </r>
    <r>
      <rPr>
        <b/>
        <sz val="12"/>
        <rFont val="Times New Roman"/>
        <family val="1"/>
      </rPr>
      <t xml:space="preserve">&amp; Expenses for the previous year </t>
    </r>
    <r>
      <rPr>
        <b/>
        <sz val="12"/>
        <color rgb="FFFF0000"/>
        <rFont val="Times New Roman"/>
        <family val="1"/>
      </rPr>
      <t>(2025-26)</t>
    </r>
  </si>
  <si>
    <t>Budget Head</t>
  </si>
  <si>
    <r>
      <rPr>
        <b/>
        <sz val="12"/>
        <rFont val="Times New Roman"/>
        <family val="1"/>
      </rPr>
      <t xml:space="preserve">Proposed Budget for the current year </t>
    </r>
    <r>
      <rPr>
        <b/>
        <sz val="12"/>
        <color rgb="FFFF0000"/>
        <rFont val="Times New Roman"/>
        <family val="1"/>
      </rPr>
      <t xml:space="preserve">(2026-27)
</t>
    </r>
    <r>
      <rPr>
        <b/>
        <sz val="12"/>
        <rFont val="Times New Roman"/>
        <family val="1"/>
      </rPr>
      <t>(Rs. in Lakhs)</t>
    </r>
  </si>
  <si>
    <r>
      <rPr>
        <b/>
        <sz val="12"/>
        <rFont val="Times New Roman"/>
        <family val="1"/>
      </rPr>
      <t xml:space="preserve">Actual Expenses in the previous year </t>
    </r>
    <r>
      <rPr>
        <b/>
        <sz val="12"/>
        <color rgb="FFFF0000"/>
        <rFont val="Times New Roman"/>
        <family val="1"/>
      </rPr>
      <t xml:space="preserve">(2025-26)-
As on date
</t>
    </r>
    <r>
      <rPr>
        <b/>
        <sz val="12"/>
        <rFont val="Times New Roman"/>
        <family val="1"/>
      </rPr>
      <t>(Rs. in Lakhs)</t>
    </r>
  </si>
  <si>
    <t>Total</t>
  </si>
  <si>
    <r>
      <rPr>
        <sz val="12"/>
        <rFont val="Times New Roman"/>
        <family val="1"/>
      </rPr>
      <t>Laboratory</t>
    </r>
  </si>
  <si>
    <r>
      <rPr>
        <sz val="12"/>
        <rFont val="Times New Roman"/>
        <family val="1"/>
      </rPr>
      <t>Non-Recurring</t>
    </r>
  </si>
  <si>
    <r>
      <rPr>
        <sz val="12"/>
        <rFont val="Times New Roman"/>
        <family val="1"/>
      </rPr>
      <t>Equipment</t>
    </r>
  </si>
  <si>
    <r>
      <rPr>
        <sz val="12"/>
        <rFont val="Times New Roman"/>
        <family val="1"/>
      </rPr>
      <t>Computers</t>
    </r>
  </si>
  <si>
    <r>
      <rPr>
        <sz val="12"/>
        <rFont val="Times New Roman"/>
        <family val="1"/>
      </rPr>
      <t>Spares/Accessories</t>
    </r>
  </si>
  <si>
    <r>
      <rPr>
        <sz val="12"/>
        <rFont val="Times New Roman"/>
        <family val="1"/>
      </rPr>
      <t>Others (Specify)</t>
    </r>
  </si>
  <si>
    <r>
      <rPr>
        <sz val="12"/>
        <rFont val="Times New Roman"/>
        <family val="1"/>
      </rPr>
      <t>Recurring</t>
    </r>
  </si>
  <si>
    <r>
      <rPr>
        <sz val="12"/>
        <rFont val="Times New Roman"/>
        <family val="1"/>
      </rPr>
      <t>Consumables</t>
    </r>
  </si>
  <si>
    <r>
      <rPr>
        <sz val="12"/>
        <rFont val="Times New Roman"/>
        <family val="1"/>
      </rPr>
      <t>Maintenance</t>
    </r>
  </si>
  <si>
    <r>
      <rPr>
        <sz val="12"/>
        <rFont val="Times New Roman"/>
        <family val="1"/>
      </rPr>
      <t>Stationary</t>
    </r>
  </si>
  <si>
    <r>
      <rPr>
        <sz val="12"/>
        <rFont val="Times New Roman"/>
        <family val="1"/>
      </rPr>
      <t>Students Activities (Co-curricular)</t>
    </r>
  </si>
  <si>
    <r>
      <rPr>
        <sz val="12"/>
        <rFont val="Times New Roman"/>
        <family val="1"/>
      </rPr>
      <t>Organizing</t>
    </r>
  </si>
  <si>
    <r>
      <rPr>
        <sz val="12"/>
        <rFont val="Times New Roman"/>
        <family val="1"/>
      </rPr>
      <t>Attending</t>
    </r>
  </si>
  <si>
    <r>
      <rPr>
        <sz val="12"/>
        <rFont val="Times New Roman"/>
        <family val="1"/>
      </rPr>
      <t>Travel</t>
    </r>
  </si>
  <si>
    <r>
      <rPr>
        <sz val="12"/>
        <rFont val="Times New Roman"/>
        <family val="1"/>
      </rPr>
      <t>R&amp;D</t>
    </r>
  </si>
  <si>
    <r>
      <rPr>
        <sz val="12"/>
        <rFont val="Times New Roman"/>
        <family val="1"/>
      </rPr>
      <t>Library</t>
    </r>
  </si>
  <si>
    <r>
      <rPr>
        <sz val="12"/>
        <rFont val="Times New Roman"/>
        <family val="1"/>
      </rPr>
      <t>Text books</t>
    </r>
  </si>
  <si>
    <r>
      <rPr>
        <sz val="12"/>
        <rFont val="Times New Roman"/>
        <family val="1"/>
      </rPr>
      <t>Reference books</t>
    </r>
  </si>
  <si>
    <r>
      <rPr>
        <sz val="12"/>
        <rFont val="Times New Roman"/>
        <family val="1"/>
      </rPr>
      <t>Journals/Periodicals</t>
    </r>
  </si>
  <si>
    <r>
      <rPr>
        <sz val="12"/>
        <rFont val="Times New Roman"/>
        <family val="1"/>
      </rPr>
      <t>Magazines</t>
    </r>
  </si>
  <si>
    <r>
      <rPr>
        <sz val="12"/>
        <rFont val="Times New Roman"/>
        <family val="1"/>
      </rPr>
      <t>Sports</t>
    </r>
  </si>
  <si>
    <t>Career Development Center / Training</t>
  </si>
  <si>
    <t>ICT Dept.</t>
  </si>
  <si>
    <t>HR Dept. / Staff salary</t>
  </si>
  <si>
    <t>Teaching</t>
  </si>
  <si>
    <r>
      <rPr>
        <sz val="12"/>
        <rFont val="Times New Roman"/>
        <family val="1"/>
      </rPr>
      <t>Non-Teaching</t>
    </r>
  </si>
  <si>
    <r>
      <rPr>
        <sz val="12"/>
        <rFont val="Times New Roman"/>
        <family val="1"/>
      </rPr>
      <t>Health Centre</t>
    </r>
  </si>
  <si>
    <t>Transport Dept. / Vehicles</t>
  </si>
  <si>
    <t>Examination Section</t>
  </si>
  <si>
    <t>SDG Impact Prog.</t>
  </si>
  <si>
    <t>CETLI / Academic Planning &amp; Strategy</t>
  </si>
  <si>
    <t>SDC</t>
  </si>
  <si>
    <t>Admission Dept.</t>
  </si>
  <si>
    <t>Facilities Dept.</t>
  </si>
  <si>
    <t>International &amp; Industry Relations</t>
  </si>
  <si>
    <t>Accounts Dept.</t>
  </si>
  <si>
    <t>Hostels &amp; other Student Amenities</t>
  </si>
  <si>
    <t>Projection of Revenue Generation if applicable</t>
  </si>
  <si>
    <t>Softwares / Subscriptions / AMCs etc.,</t>
  </si>
  <si>
    <t>Miscellaneous</t>
  </si>
  <si>
    <t>Budget Co-Coordinator                 Head of the Dept.                     Dean (SoE)                         Registrar                      Vice-Chancellor                        President</t>
  </si>
  <si>
    <r>
      <rPr>
        <b/>
        <sz val="14"/>
        <rFont val="Times New Roman"/>
        <family val="1"/>
      </rPr>
      <t xml:space="preserve">SREENIDHI UNIVERSITY, Hyderabad
</t>
    </r>
    <r>
      <rPr>
        <b/>
        <sz val="14"/>
        <color rgb="FFFF0000"/>
        <rFont val="Times New Roman"/>
        <family val="1"/>
      </rPr>
      <t xml:space="preserve">Name of the Department
</t>
    </r>
    <r>
      <rPr>
        <b/>
        <sz val="12"/>
        <rFont val="Times New Roman"/>
        <family val="1"/>
      </rPr>
      <t xml:space="preserve">Details of the Proposed Budget for the Financial Year </t>
    </r>
    <r>
      <rPr>
        <b/>
        <sz val="12"/>
        <color rgb="FFFF0000"/>
        <rFont val="Times New Roman"/>
        <family val="1"/>
      </rPr>
      <t>2026-27</t>
    </r>
  </si>
  <si>
    <t>S.N.</t>
  </si>
  <si>
    <r>
      <rPr>
        <b/>
        <sz val="12"/>
        <rFont val="Times New Roman"/>
        <family val="1"/>
      </rPr>
      <t xml:space="preserve">Specifications /
</t>
    </r>
    <r>
      <rPr>
        <b/>
        <sz val="12"/>
        <rFont val="Times New Roman"/>
        <family val="1"/>
      </rPr>
      <t>Description</t>
    </r>
  </si>
  <si>
    <r>
      <rPr>
        <b/>
        <sz val="12"/>
        <rFont val="Times New Roman"/>
        <family val="1"/>
      </rPr>
      <t>Quantity</t>
    </r>
  </si>
  <si>
    <r>
      <rPr>
        <b/>
        <sz val="12"/>
        <rFont val="Times New Roman"/>
        <family val="1"/>
      </rPr>
      <t xml:space="preserve">Unit Price (Rs.
</t>
    </r>
    <r>
      <rPr>
        <b/>
        <sz val="12"/>
        <rFont val="Times New Roman"/>
        <family val="1"/>
      </rPr>
      <t>in Lakhs)</t>
    </r>
  </si>
  <si>
    <t>Amount (Rs.
in Lakhs)</t>
  </si>
  <si>
    <t>Justification</t>
  </si>
  <si>
    <r>
      <rPr>
        <sz val="12"/>
        <rFont val="Times New Roman"/>
        <family val="1"/>
      </rPr>
      <t>FDP/STTP/ Workshop / Seminar / Conferences, etc.,</t>
    </r>
  </si>
  <si>
    <r>
      <rPr>
        <sz val="12"/>
        <rFont val="Times New Roman"/>
        <family val="1"/>
      </rPr>
      <t>CD’s / Digital Library</t>
    </r>
  </si>
  <si>
    <t>VC Office / Pro-Chancellor Office / Registrar Office / Administrative / Deans / Directors / Dept. Office</t>
  </si>
  <si>
    <t>HR Dept. / Staff Salary</t>
  </si>
  <si>
    <r>
      <rPr>
        <sz val="12"/>
        <rFont val="Times New Roman"/>
        <family val="1"/>
      </rPr>
      <t>Teaching</t>
    </r>
  </si>
  <si>
    <r>
      <rPr>
        <sz val="12"/>
        <rFont val="Times New Roman"/>
        <family val="1"/>
      </rPr>
      <t xml:space="preserve">NSS/YRC/NCC – Any
</t>
    </r>
    <r>
      <rPr>
        <sz val="12"/>
        <rFont val="Times New Roman"/>
        <family val="1"/>
      </rPr>
      <t>other Club Activities</t>
    </r>
  </si>
  <si>
    <r>
      <rPr>
        <sz val="12"/>
        <rFont val="Times New Roman"/>
        <family val="1"/>
      </rPr>
      <t>Common Functions</t>
    </r>
  </si>
  <si>
    <r>
      <rPr>
        <sz val="12"/>
        <rFont val="Times New Roman"/>
        <family val="1"/>
      </rPr>
      <t>I year Orientation Program</t>
    </r>
  </si>
  <si>
    <r>
      <rPr>
        <sz val="12"/>
        <rFont val="Times New Roman"/>
        <family val="1"/>
      </rPr>
      <t>Founders Day / University Day</t>
    </r>
  </si>
  <si>
    <t>Graduation Day</t>
  </si>
  <si>
    <r>
      <rPr>
        <sz val="12"/>
        <rFont val="Times New Roman"/>
        <family val="1"/>
      </rPr>
      <t>Staff Day</t>
    </r>
  </si>
  <si>
    <r>
      <rPr>
        <sz val="12"/>
        <rFont val="Times New Roman"/>
        <family val="1"/>
      </rPr>
      <t>Alumni Activities</t>
    </r>
  </si>
  <si>
    <r>
      <rPr>
        <sz val="12"/>
        <rFont val="Times New Roman"/>
        <family val="1"/>
      </rPr>
      <t>Common Expenses</t>
    </r>
  </si>
  <si>
    <t>Electricity</t>
  </si>
  <si>
    <r>
      <rPr>
        <sz val="12"/>
        <rFont val="Times New Roman"/>
        <family val="1"/>
      </rPr>
      <t>Water</t>
    </r>
  </si>
  <si>
    <t>Internet</t>
  </si>
  <si>
    <r>
      <rPr>
        <sz val="12"/>
        <rFont val="Times New Roman"/>
        <family val="1"/>
      </rPr>
      <t>Telephone</t>
    </r>
  </si>
  <si>
    <r>
      <rPr>
        <sz val="12"/>
        <rFont val="Times New Roman"/>
        <family val="1"/>
      </rPr>
      <t>Postage</t>
    </r>
  </si>
  <si>
    <r>
      <rPr>
        <sz val="12"/>
        <rFont val="Times New Roman"/>
        <family val="1"/>
      </rPr>
      <t>Hospitality</t>
    </r>
  </si>
  <si>
    <r>
      <rPr>
        <sz val="12"/>
        <rFont val="Times New Roman"/>
        <family val="1"/>
      </rPr>
      <t>Uniforms</t>
    </r>
  </si>
  <si>
    <r>
      <rPr>
        <sz val="12"/>
        <rFont val="Times New Roman"/>
        <family val="1"/>
      </rPr>
      <t>Common Academic Expenses</t>
    </r>
  </si>
  <si>
    <t>UGC / AICTE / TGSHEC / TG Govt. / Any other Regulatory bodies</t>
  </si>
  <si>
    <t>IQAC / Accreditation</t>
  </si>
  <si>
    <t>Others (Specify)</t>
  </si>
  <si>
    <r>
      <rPr>
        <sz val="12"/>
        <rFont val="Times New Roman"/>
        <family val="1"/>
      </rPr>
      <t>Common Maintenance</t>
    </r>
  </si>
  <si>
    <r>
      <rPr>
        <sz val="12"/>
        <rFont val="Times New Roman"/>
        <family val="1"/>
      </rPr>
      <t>General</t>
    </r>
  </si>
  <si>
    <r>
      <rPr>
        <sz val="12"/>
        <rFont val="Times New Roman"/>
        <family val="1"/>
      </rPr>
      <t>Electrical</t>
    </r>
  </si>
  <si>
    <r>
      <rPr>
        <sz val="12"/>
        <rFont val="Times New Roman"/>
        <family val="1"/>
      </rPr>
      <t>Generator</t>
    </r>
  </si>
  <si>
    <r>
      <rPr>
        <sz val="12"/>
        <rFont val="Times New Roman"/>
        <family val="1"/>
      </rPr>
      <t>Water Treatment Plant</t>
    </r>
  </si>
  <si>
    <r>
      <rPr>
        <sz val="12"/>
        <rFont val="Times New Roman"/>
        <family val="1"/>
      </rPr>
      <t>Civil-Plumbing, Carpentry etc.,</t>
    </r>
  </si>
  <si>
    <r>
      <rPr>
        <sz val="12"/>
        <rFont val="Times New Roman"/>
        <family val="1"/>
      </rPr>
      <t>Lifts</t>
    </r>
  </si>
  <si>
    <r>
      <rPr>
        <sz val="12"/>
        <rFont val="Times New Roman"/>
        <family val="1"/>
      </rPr>
      <t>Air-Conditioners</t>
    </r>
  </si>
  <si>
    <r>
      <rPr>
        <sz val="12"/>
        <rFont val="Times New Roman"/>
        <family val="1"/>
      </rPr>
      <t>Sewage Water Treatment</t>
    </r>
  </si>
  <si>
    <t>Fire Fighting system</t>
  </si>
  <si>
    <r>
      <rPr>
        <sz val="12"/>
        <rFont val="Times New Roman"/>
        <family val="1"/>
      </rPr>
      <t>Gardening</t>
    </r>
  </si>
  <si>
    <t>Acquisition of Land &amp; new Buildings &amp; Infrastructural Built-up etc.,</t>
  </si>
  <si>
    <r>
      <rPr>
        <b/>
        <sz val="12"/>
        <rFont val="Times New Roman"/>
        <family val="1"/>
      </rPr>
      <t>Total</t>
    </r>
  </si>
  <si>
    <t>Budget Co-Coordinator                 Head of the Dept.                      Dean (SOE)                              Registrar                        Vice-Chancellor                   President</t>
  </si>
  <si>
    <t>Physics</t>
  </si>
  <si>
    <t>Procurement Department</t>
  </si>
  <si>
    <t>Chemistry Dept.</t>
  </si>
  <si>
    <t>Seed Grants for Faculty Projects</t>
  </si>
  <si>
    <t>Publication Incentives</t>
  </si>
  <si>
    <t>Conference Registration &amp; Travel Grants</t>
  </si>
  <si>
    <t>Organizing National &amp; International Conferences / Workshops</t>
  </si>
  <si>
    <t>Patent Filing / Incentives / Grants</t>
  </si>
  <si>
    <t>Regular Research Talks/ Distinguished Lecture Series</t>
  </si>
  <si>
    <t>E-Resources – Plagiarism Software, E-Journals, E-Books etc</t>
  </si>
  <si>
    <t>Student Research Grants</t>
  </si>
  <si>
    <t xml:space="preserve">Students Affairs </t>
  </si>
  <si>
    <t>Website Hosting</t>
  </si>
  <si>
    <t xml:space="preserve">Back-up Internet </t>
  </si>
  <si>
    <t>Google Gemini AI Pro for Education</t>
  </si>
  <si>
    <t>Grammerly for Education</t>
  </si>
  <si>
    <t>Desktops (800)</t>
  </si>
  <si>
    <t>IT Equipment</t>
  </si>
  <si>
    <t>IT Accessories</t>
  </si>
  <si>
    <t>CISCO</t>
  </si>
  <si>
    <t>Network Cabling</t>
  </si>
  <si>
    <t>AV Equipment</t>
  </si>
  <si>
    <t>Seminar Hall &amp; Labs/classrooms - 4th Floor</t>
  </si>
  <si>
    <t>Wireless tower</t>
  </si>
  <si>
    <t>AI Server</t>
  </si>
  <si>
    <t>Apple Macbook</t>
  </si>
  <si>
    <t>Physical Education</t>
  </si>
  <si>
    <t xml:space="preserve">VC Office </t>
  </si>
  <si>
    <t>Apr.-Jun.</t>
  </si>
  <si>
    <t>Jul.-Sept.</t>
  </si>
  <si>
    <t>Oct.-Dec.</t>
  </si>
  <si>
    <t>Jan.-Mar.</t>
  </si>
  <si>
    <t xml:space="preserve"> Registrar Office </t>
  </si>
  <si>
    <t>-</t>
  </si>
  <si>
    <t>EECE</t>
  </si>
  <si>
    <t>Recurring</t>
  </si>
  <si>
    <t>CSE &amp; Allied Branches</t>
  </si>
  <si>
    <t>Dean's Office</t>
  </si>
  <si>
    <t>Pro-Chancellore Office / Administrative / Directors / Dept. Office</t>
  </si>
  <si>
    <r>
      <rPr>
        <b/>
        <sz val="14"/>
        <rFont val="Times New Roman"/>
        <family val="1"/>
      </rPr>
      <t xml:space="preserve">SREENIDHI UNIVERSITY, Hyderabad
</t>
    </r>
    <r>
      <rPr>
        <b/>
        <sz val="14"/>
        <color rgb="FFFF0000"/>
        <rFont val="Times New Roman"/>
        <family val="1"/>
      </rPr>
      <t xml:space="preserve">Dean Office 
</t>
    </r>
    <r>
      <rPr>
        <b/>
        <sz val="12"/>
        <rFont val="Times New Roman"/>
        <family val="1"/>
      </rPr>
      <t xml:space="preserve">Details of the Proposed Budget for the Financial Year </t>
    </r>
    <r>
      <rPr>
        <b/>
        <sz val="12"/>
        <color rgb="FFFF0000"/>
        <rFont val="Times New Roman"/>
        <family val="1"/>
      </rPr>
      <t>2026-27</t>
    </r>
  </si>
  <si>
    <t>Date: 26.03.2026</t>
  </si>
  <si>
    <r>
      <rPr>
        <b/>
        <sz val="12"/>
        <rFont val="Times New Roman"/>
        <family val="1"/>
      </rPr>
      <t>Specifications /
Description</t>
    </r>
  </si>
  <si>
    <t>Quantity</t>
  </si>
  <si>
    <t>Unit Price (Rs.)</t>
  </si>
  <si>
    <t>Amount (Rs.)</t>
  </si>
  <si>
    <t>Deans Office</t>
  </si>
  <si>
    <t>Non-Recurring</t>
  </si>
  <si>
    <t>Equipment</t>
  </si>
  <si>
    <t>Box Files (Big)</t>
  </si>
  <si>
    <t>Punch Machines</t>
  </si>
  <si>
    <t>Heavy Duty Punch (DP-500)</t>
  </si>
  <si>
    <t>Staplers (10D)</t>
  </si>
  <si>
    <t>Staplers (24/6)</t>
  </si>
  <si>
    <t>Scissors</t>
  </si>
  <si>
    <t>Steel Scales</t>
  </si>
  <si>
    <t>Plastic Scales</t>
  </si>
  <si>
    <t>Whiteboard Dusters</t>
  </si>
  <si>
    <t>Pen Holders</t>
  </si>
  <si>
    <t>Paper Weights</t>
  </si>
  <si>
    <t>Wall Clocks</t>
  </si>
  <si>
    <t>Displaying circulars and announcements</t>
  </si>
  <si>
    <t>File storage in Dean Office</t>
  </si>
  <si>
    <t>Secure record storage</t>
  </si>
  <si>
    <t>File and document labeling</t>
  </si>
  <si>
    <t>Office data backup - 2 TB</t>
  </si>
  <si>
    <t>Data transfer and storage</t>
  </si>
  <si>
    <t>Stationary</t>
  </si>
  <si>
    <t>Ball Pens (Blue/Red)</t>
  </si>
  <si>
    <t>Gel Pens (Green)</t>
  </si>
  <si>
    <t>Pencils</t>
  </si>
  <si>
    <t>Erasers</t>
  </si>
  <si>
    <t>Sharpeners</t>
  </si>
  <si>
    <t>White Board Markers</t>
  </si>
  <si>
    <t>White Board Marker Ink</t>
  </si>
  <si>
    <t>Permanent Markers</t>
  </si>
  <si>
    <t>Highlighters</t>
  </si>
  <si>
    <t>Whitener Pens</t>
  </si>
  <si>
    <t>Sticky Notes</t>
  </si>
  <si>
    <t>Scribbling Pads</t>
  </si>
  <si>
    <t>Registers (100 Pages)</t>
  </si>
  <si>
    <t>Registers (200 Pages)</t>
  </si>
  <si>
    <t>Spring Files</t>
  </si>
  <si>
    <t>L-Folders</t>
  </si>
  <si>
    <t>A4 Paper (75 GSM)</t>
  </si>
  <si>
    <t>F/S Paper</t>
  </si>
  <si>
    <t>Brown Covers (A4/F.S)</t>
  </si>
  <si>
    <t>A4 Plastic Covers (Certificates)</t>
  </si>
  <si>
    <t>Cello Tape</t>
  </si>
  <si>
    <t>Glue Stick</t>
  </si>
  <si>
    <t>Binder Clips</t>
  </si>
  <si>
    <t>Gem Clips</t>
  </si>
  <si>
    <t>Stapler Pins</t>
  </si>
  <si>
    <t>Rubber Bands ( Packets)</t>
  </si>
  <si>
    <t>All Pins / Push Pins</t>
  </si>
  <si>
    <t>Printer Ink / Toner Cartridges</t>
  </si>
  <si>
    <r>
      <t xml:space="preserve">Printing official documents 
</t>
    </r>
    <r>
      <rPr>
        <b/>
        <sz val="11"/>
        <color theme="1"/>
        <rFont val="Times New Roman"/>
        <family val="1"/>
      </rPr>
      <t xml:space="preserve">HP Toner 158x </t>
    </r>
    <r>
      <rPr>
        <sz val="11"/>
        <color theme="1"/>
        <rFont val="Times New Roman"/>
        <family val="1"/>
      </rPr>
      <t>- Office Desk</t>
    </r>
  </si>
  <si>
    <r>
      <t xml:space="preserve">Printing official documents 
</t>
    </r>
    <r>
      <rPr>
        <b/>
        <sz val="11"/>
        <color theme="1"/>
        <rFont val="Times New Roman"/>
        <family val="1"/>
      </rPr>
      <t xml:space="preserve">HP Lasejet Tank - 126nw </t>
    </r>
    <r>
      <rPr>
        <sz val="11"/>
        <color theme="1"/>
        <rFont val="Times New Roman"/>
        <family val="1"/>
      </rPr>
      <t>- Deans Desk</t>
    </r>
  </si>
  <si>
    <t>Photocopy Paper (Additional)</t>
  </si>
  <si>
    <t>Department circulars &amp; reports</t>
  </si>
  <si>
    <t>Document Envelopes (A4)</t>
  </si>
  <si>
    <t>Official communication</t>
  </si>
  <si>
    <t>Courier Covers</t>
  </si>
  <si>
    <t>Sending official documents</t>
  </si>
  <si>
    <t>Name Labels / Stickers</t>
  </si>
  <si>
    <t>Labeling files and racks</t>
  </si>
  <si>
    <t>Board Cleaning Liquid</t>
  </si>
  <si>
    <t>Cleaning whiteboards</t>
  </si>
  <si>
    <t>Desk Cleaning Cloths</t>
  </si>
  <si>
    <t>Cleaning office desks</t>
  </si>
  <si>
    <t>File Binding Strips</t>
  </si>
  <si>
    <t>Binding documents</t>
  </si>
  <si>
    <t>Sticky Label Notes</t>
  </si>
  <si>
    <t>Short reminders on files</t>
  </si>
  <si>
    <r>
      <rPr>
        <b/>
        <sz val="14"/>
        <rFont val="Times New Roman"/>
        <family val="1"/>
      </rPr>
      <t xml:space="preserve">SREENIDHI UNIVERSITY, Hyderabad
</t>
    </r>
    <r>
      <rPr>
        <b/>
        <sz val="14"/>
        <color rgb="FFFF0000"/>
        <rFont val="Times New Roman"/>
        <family val="1"/>
      </rPr>
      <t xml:space="preserve">Examinations / Office of COE
</t>
    </r>
    <r>
      <rPr>
        <b/>
        <sz val="12"/>
        <rFont val="Times New Roman"/>
        <family val="1"/>
      </rPr>
      <t xml:space="preserve">Details of the Proposed Budget for the Financial Year </t>
    </r>
    <r>
      <rPr>
        <b/>
        <sz val="12"/>
        <color rgb="FFFF0000"/>
        <rFont val="Times New Roman"/>
        <family val="1"/>
      </rPr>
      <t>2026-27</t>
    </r>
  </si>
  <si>
    <t>Date: 23.03.2026</t>
  </si>
  <si>
    <t>S.No</t>
  </si>
  <si>
    <t>RICOH Scanner fi8170</t>
  </si>
  <si>
    <t>Nos</t>
  </si>
  <si>
    <t>Deli E0150 Heavy Duty Punch</t>
  </si>
  <si>
    <t>Calculator MJ120 Casio (Big)</t>
  </si>
  <si>
    <t>Heavy Duty Paper Hole Puncher (Single)</t>
  </si>
  <si>
    <t>Paper Weight</t>
  </si>
  <si>
    <t>Plastic trays</t>
  </si>
  <si>
    <t>Aluminium Black Mesh Pen Stand</t>
  </si>
  <si>
    <t xml:space="preserve">TK 6340 For TaskAlfa 5004i </t>
  </si>
  <si>
    <t>NPG-88 Toner Black for IRC3326</t>
  </si>
  <si>
    <t>NPG-88 Toner Cyan for IRC3326</t>
  </si>
  <si>
    <t>NPG-88 Toner Magenta for IRC3326</t>
  </si>
  <si>
    <t>NPG-88 Toner Yellow for IRC3326</t>
  </si>
  <si>
    <t>Stapler 10D</t>
  </si>
  <si>
    <t>Staplers (Big) HP 45</t>
  </si>
  <si>
    <t>Scissors (Medium)</t>
  </si>
  <si>
    <t>Scissors (big)</t>
  </si>
  <si>
    <t>External Blank Answer Booklets 36 pages (Theory)</t>
  </si>
  <si>
    <t>Even &amp; Odd Sem</t>
  </si>
  <si>
    <t>External Printed Answer Booklets 36 Pages (Theory)</t>
  </si>
  <si>
    <t>Answer Booklets 20 Pages (Theory)</t>
  </si>
  <si>
    <t>Practical Answer Booklets 4 Pages</t>
  </si>
  <si>
    <t>A3 Cloth Covers</t>
  </si>
  <si>
    <t>A4 Cloth Covers</t>
  </si>
  <si>
    <t>A4  Box Covers</t>
  </si>
  <si>
    <t>A3 Box Covers</t>
  </si>
  <si>
    <t>Graph Book</t>
  </si>
  <si>
    <t>Box Files Small</t>
  </si>
  <si>
    <t>Box Files Big (MAX)</t>
  </si>
  <si>
    <t xml:space="preserve">Ball Pen (Red) </t>
  </si>
  <si>
    <t>Boxes</t>
  </si>
  <si>
    <t>Brown covers A-4</t>
  </si>
  <si>
    <t>Brown covers F/S</t>
  </si>
  <si>
    <t>Binder clip 25mm</t>
  </si>
  <si>
    <t>Binder clip 32mm</t>
  </si>
  <si>
    <t>Binder clip 41mm</t>
  </si>
  <si>
    <t>Cello Tapes 1"</t>
  </si>
  <si>
    <t>Roll</t>
  </si>
  <si>
    <t>Cello Tapes 2"</t>
  </si>
  <si>
    <t>Dampers</t>
  </si>
  <si>
    <t>Fevi Stick (15gm)</t>
  </si>
  <si>
    <t>Envelopes (White- 100) 5x11</t>
  </si>
  <si>
    <t>Envelopes (cloth-100) 5x11</t>
  </si>
  <si>
    <t>Envelopes (cloth-100) 10*12</t>
  </si>
  <si>
    <t>File (spring)</t>
  </si>
  <si>
    <t>Gem clip (office clips) 26 mm</t>
  </si>
  <si>
    <t>Box</t>
  </si>
  <si>
    <t>Gem clip (office clips) 35 mm</t>
  </si>
  <si>
    <t>HIGH LIGHTER(EACH)</t>
  </si>
  <si>
    <t>L - Folders (Thick)</t>
  </si>
  <si>
    <t>L - Folders (sun white)</t>
  </si>
  <si>
    <t>L-Folders (Conference folders)</t>
  </si>
  <si>
    <t xml:space="preserve">A4 stickers </t>
  </si>
  <si>
    <t>Packets</t>
  </si>
  <si>
    <t xml:space="preserve">Label Stickers </t>
  </si>
  <si>
    <t xml:space="preserve">N Board (Pins) </t>
  </si>
  <si>
    <t>O.H.P.  Marker Pens zig</t>
  </si>
  <si>
    <t>Pencils (10)</t>
  </si>
  <si>
    <t>Papers (A4) 75 GSM</t>
  </si>
  <si>
    <t>Bundles</t>
  </si>
  <si>
    <t xml:space="preserve">Papers (A3) </t>
  </si>
  <si>
    <t>Plastic Covers (Certificate)F/S</t>
  </si>
  <si>
    <t>Rubber Bands (100Gms.) nylon</t>
  </si>
  <si>
    <t xml:space="preserve">Rubber Bands (500Gms 4Inches.) </t>
  </si>
  <si>
    <t xml:space="preserve">Registers (100 Pages) </t>
  </si>
  <si>
    <t xml:space="preserve">Registers (200 Pages) </t>
  </si>
  <si>
    <t>Stapler Pins (10Nos)</t>
  </si>
  <si>
    <t>Stapler Pins (24*6)</t>
  </si>
  <si>
    <t>Scribbling Pads 64 p</t>
  </si>
  <si>
    <t>Scales (Steel)</t>
  </si>
  <si>
    <t>Sketch Pens(12)</t>
  </si>
  <si>
    <t>Stiky Notes (3" X 3")</t>
  </si>
  <si>
    <t>Threads (Cutting) 500/10 Nos</t>
  </si>
  <si>
    <t xml:space="preserve">Tags </t>
  </si>
  <si>
    <t>Bunches</t>
  </si>
  <si>
    <t>Whitener pen</t>
  </si>
  <si>
    <t xml:space="preserve">White Board Markers </t>
  </si>
  <si>
    <t>Remuneration - Invigilation Duties</t>
  </si>
  <si>
    <t>Remuneration - Evaluation</t>
  </si>
  <si>
    <t>Batteries</t>
  </si>
  <si>
    <t>Sound System</t>
  </si>
  <si>
    <r>
      <rPr>
        <sz val="12"/>
        <color rgb="FFFF0000"/>
        <rFont val="Times New Roman"/>
        <family val="1"/>
      </rPr>
      <t>Date: xx.xx.xxxx</t>
    </r>
  </si>
  <si>
    <r>
      <rPr>
        <b/>
        <sz val="12"/>
        <color rgb="FF000000"/>
        <rFont val="Times New Roman"/>
        <family val="1"/>
      </rPr>
      <t xml:space="preserve">Specifications /
</t>
    </r>
    <r>
      <rPr>
        <b/>
        <sz val="12"/>
        <color rgb="FF000000"/>
        <rFont val="Times New Roman"/>
        <family val="1"/>
      </rPr>
      <t>Description</t>
    </r>
  </si>
  <si>
    <r>
      <rPr>
        <b/>
        <sz val="12"/>
        <color theme="1"/>
        <rFont val="Times New Roman"/>
        <family val="1"/>
      </rPr>
      <t>Quantity</t>
    </r>
  </si>
  <si>
    <t xml:space="preserve">Unit Price (Rs.
in Lakhs) in Rupees </t>
  </si>
  <si>
    <r>
      <rPr>
        <sz val="12"/>
        <color theme="1"/>
        <rFont val="Times New Roman"/>
        <family val="1"/>
      </rPr>
      <t>Laboratory</t>
    </r>
  </si>
  <si>
    <r>
      <rPr>
        <sz val="12"/>
        <color theme="1"/>
        <rFont val="Times New Roman"/>
        <family val="1"/>
      </rPr>
      <t>Non-Recurring</t>
    </r>
  </si>
  <si>
    <r>
      <rPr>
        <sz val="12"/>
        <color theme="1"/>
        <rFont val="Times New Roman"/>
        <family val="1"/>
      </rPr>
      <t>Equipment</t>
    </r>
  </si>
  <si>
    <t>He-Ne / diode lasers</t>
  </si>
  <si>
    <t>To establish Quantum Engineering Experimental Laboratory</t>
  </si>
  <si>
    <t>Digital Oscilloscopes</t>
  </si>
  <si>
    <t>Entry-level Vector Network Analyzer</t>
  </si>
  <si>
    <t>Spectrum analyzer (teaching model)</t>
  </si>
  <si>
    <t>Local server for simulation</t>
  </si>
  <si>
    <r>
      <rPr>
        <sz val="12"/>
        <color theme="1"/>
        <rFont val="Times New Roman"/>
        <family val="1"/>
      </rPr>
      <t>Computers</t>
    </r>
  </si>
  <si>
    <t>High-performance desktop computers (i7 / Ryzen 7, 32GB RAM)</t>
  </si>
  <si>
    <r>
      <rPr>
        <sz val="12"/>
        <color theme="1"/>
        <rFont val="Times New Roman"/>
        <family val="1"/>
      </rPr>
      <t>Spares/Accessories</t>
    </r>
  </si>
  <si>
    <t>Instructor workstation</t>
  </si>
  <si>
    <t>Networking switch &amp; LAN setup</t>
  </si>
  <si>
    <t>UPS power backup</t>
  </si>
  <si>
    <t>200000</t>
  </si>
  <si>
    <t>Projector / smart display</t>
  </si>
  <si>
    <t>150000</t>
  </si>
  <si>
    <t>Software setup (Linux, Python, Qiskit etc.)</t>
  </si>
  <si>
    <t>50000</t>
  </si>
  <si>
    <t>Optical benches / tables</t>
  </si>
  <si>
    <t>120000</t>
  </si>
  <si>
    <t>Beam splitters, mirrors, mounts</t>
  </si>
  <si>
    <t>Polarizers + HWP + QWP</t>
  </si>
  <si>
    <t>Diffraction and interferometer kits</t>
  </si>
  <si>
    <t>Digital electronics trainer kits</t>
  </si>
  <si>
    <t>40000</t>
  </si>
  <si>
    <t>RLC circuit trainer kits</t>
  </si>
  <si>
    <t>30000</t>
  </si>
  <si>
    <t>Function generators</t>
  </si>
  <si>
    <t>60000</t>
  </si>
  <si>
    <t>DC power supplies</t>
  </si>
  <si>
    <t>Basic components &amp; breadboards</t>
  </si>
  <si>
    <t>100000</t>
  </si>
  <si>
    <t>DAQ systems</t>
  </si>
  <si>
    <t>Instrument interface modules</t>
  </si>
  <si>
    <r>
      <rPr>
        <sz val="12"/>
        <color theme="1"/>
        <rFont val="Times New Roman"/>
        <family val="1"/>
      </rPr>
      <t>Others (Specify)</t>
    </r>
  </si>
  <si>
    <r>
      <rPr>
        <sz val="12"/>
        <color theme="1"/>
        <rFont val="Times New Roman"/>
        <family val="1"/>
      </rPr>
      <t>Recurring</t>
    </r>
  </si>
  <si>
    <r>
      <rPr>
        <sz val="12"/>
        <color theme="1"/>
        <rFont val="Times New Roman"/>
        <family val="1"/>
      </rPr>
      <t>Consumables</t>
    </r>
  </si>
  <si>
    <r>
      <rPr>
        <sz val="12"/>
        <color theme="1"/>
        <rFont val="Times New Roman"/>
        <family val="1"/>
      </rPr>
      <t>Maintenance</t>
    </r>
  </si>
  <si>
    <r>
      <rPr>
        <sz val="12"/>
        <color theme="1"/>
        <rFont val="Times New Roman"/>
        <family val="1"/>
      </rPr>
      <t>Stationary</t>
    </r>
  </si>
  <si>
    <r>
      <rPr>
        <sz val="12"/>
        <color theme="1"/>
        <rFont val="Times New Roman"/>
        <family val="1"/>
      </rPr>
      <t>Students Activities (Co-curricular)</t>
    </r>
  </si>
  <si>
    <r>
      <rPr>
        <sz val="12"/>
        <color theme="1"/>
        <rFont val="Times New Roman"/>
        <family val="1"/>
      </rPr>
      <t>Organizing</t>
    </r>
  </si>
  <si>
    <t>Planning to Invite Padma Sri H.C. Verma &amp; organizing science fair for 10 th class to +2 Students)</t>
  </si>
  <si>
    <r>
      <rPr>
        <sz val="12"/>
        <color theme="1"/>
        <rFont val="Times New Roman"/>
        <family val="1"/>
      </rPr>
      <t>Attending</t>
    </r>
  </si>
  <si>
    <r>
      <rPr>
        <sz val="12"/>
        <color theme="1"/>
        <rFont val="Times New Roman"/>
        <family val="1"/>
      </rPr>
      <t>FDP/STTP/ Workshop / Seminar / Conferences, etc.,</t>
    </r>
  </si>
  <si>
    <t xml:space="preserve">2 FDPS </t>
  </si>
  <si>
    <t xml:space="preserve">As per Institution &amp; CETLI </t>
  </si>
  <si>
    <t>International Conference</t>
  </si>
  <si>
    <t>300000</t>
  </si>
  <si>
    <t>International Conference with the Propsoed submissio of ANRF Grant</t>
  </si>
  <si>
    <t xml:space="preserve">Conferences attending </t>
  </si>
  <si>
    <t>20000</t>
  </si>
  <si>
    <t>For attending conferences which includes registration and travel</t>
  </si>
  <si>
    <r>
      <rPr>
        <sz val="12"/>
        <color theme="1"/>
        <rFont val="Times New Roman"/>
        <family val="1"/>
      </rPr>
      <t>Travel</t>
    </r>
  </si>
  <si>
    <r>
      <rPr>
        <sz val="12"/>
        <color theme="1"/>
        <rFont val="Times New Roman"/>
        <family val="1"/>
      </rPr>
      <t>R&amp;D</t>
    </r>
  </si>
  <si>
    <r>
      <rPr>
        <sz val="12"/>
        <color theme="1"/>
        <rFont val="Times New Roman"/>
        <family val="1"/>
      </rPr>
      <t>Library</t>
    </r>
  </si>
  <si>
    <r>
      <rPr>
        <sz val="12"/>
        <color theme="1"/>
        <rFont val="Times New Roman"/>
        <family val="1"/>
      </rPr>
      <t>Text books</t>
    </r>
  </si>
  <si>
    <r>
      <rPr>
        <sz val="12"/>
        <color theme="1"/>
        <rFont val="Times New Roman"/>
        <family val="1"/>
      </rPr>
      <t>Reference books</t>
    </r>
  </si>
  <si>
    <r>
      <rPr>
        <sz val="12"/>
        <color theme="1"/>
        <rFont val="Times New Roman"/>
        <family val="1"/>
      </rPr>
      <t>Journals/Periodicals</t>
    </r>
  </si>
  <si>
    <r>
      <rPr>
        <sz val="12"/>
        <color theme="1"/>
        <rFont val="Times New Roman"/>
        <family val="1"/>
      </rPr>
      <t>CD’s / Digital Library</t>
    </r>
  </si>
  <si>
    <r>
      <rPr>
        <sz val="12"/>
        <color theme="1"/>
        <rFont val="Times New Roman"/>
        <family val="1"/>
      </rPr>
      <t>Magazines</t>
    </r>
  </si>
  <si>
    <r>
      <rPr>
        <sz val="12"/>
        <color theme="1"/>
        <rFont val="Times New Roman"/>
        <family val="1"/>
      </rPr>
      <t>Sports</t>
    </r>
  </si>
  <si>
    <r>
      <rPr>
        <sz val="12"/>
        <color theme="1"/>
        <rFont val="Times New Roman"/>
        <family val="1"/>
      </rPr>
      <t>Teaching</t>
    </r>
  </si>
  <si>
    <r>
      <rPr>
        <sz val="12"/>
        <color theme="1"/>
        <rFont val="Times New Roman"/>
        <family val="1"/>
      </rPr>
      <t>Non-Teaching</t>
    </r>
  </si>
  <si>
    <r>
      <rPr>
        <sz val="12"/>
        <color theme="1"/>
        <rFont val="Times New Roman"/>
        <family val="1"/>
      </rPr>
      <t>Health Centre</t>
    </r>
  </si>
  <si>
    <r>
      <rPr>
        <sz val="12"/>
        <color rgb="FF000000"/>
        <rFont val="Times New Roman"/>
        <family val="1"/>
      </rPr>
      <t xml:space="preserve">NSS/YRC/NCC – Any
</t>
    </r>
    <r>
      <rPr>
        <sz val="12"/>
        <color rgb="FF000000"/>
        <rFont val="Times New Roman"/>
        <family val="1"/>
      </rPr>
      <t>other Club Activities</t>
    </r>
  </si>
  <si>
    <r>
      <rPr>
        <sz val="12"/>
        <color theme="1"/>
        <rFont val="Times New Roman"/>
        <family val="1"/>
      </rPr>
      <t>Common Functions</t>
    </r>
  </si>
  <si>
    <r>
      <rPr>
        <sz val="12"/>
        <color theme="1"/>
        <rFont val="Times New Roman"/>
        <family val="1"/>
      </rPr>
      <t>I year Orientation Program</t>
    </r>
  </si>
  <si>
    <r>
      <rPr>
        <sz val="12"/>
        <color theme="1"/>
        <rFont val="Times New Roman"/>
        <family val="1"/>
      </rPr>
      <t>Founders Day / University Day</t>
    </r>
  </si>
  <si>
    <r>
      <rPr>
        <sz val="12"/>
        <color theme="1"/>
        <rFont val="Times New Roman"/>
        <family val="1"/>
      </rPr>
      <t>Staff Day</t>
    </r>
  </si>
  <si>
    <r>
      <rPr>
        <sz val="12"/>
        <color theme="1"/>
        <rFont val="Times New Roman"/>
        <family val="1"/>
      </rPr>
      <t>Alumni Activities</t>
    </r>
  </si>
  <si>
    <r>
      <rPr>
        <sz val="12"/>
        <color theme="1"/>
        <rFont val="Times New Roman"/>
        <family val="1"/>
      </rPr>
      <t>Common Expenses</t>
    </r>
  </si>
  <si>
    <r>
      <rPr>
        <sz val="12"/>
        <color theme="1"/>
        <rFont val="Times New Roman"/>
        <family val="1"/>
      </rPr>
      <t>Water</t>
    </r>
  </si>
  <si>
    <r>
      <rPr>
        <sz val="12"/>
        <color theme="1"/>
        <rFont val="Times New Roman"/>
        <family val="1"/>
      </rPr>
      <t>Telephone</t>
    </r>
  </si>
  <si>
    <r>
      <rPr>
        <sz val="12"/>
        <color theme="1"/>
        <rFont val="Times New Roman"/>
        <family val="1"/>
      </rPr>
      <t>Postage</t>
    </r>
  </si>
  <si>
    <r>
      <rPr>
        <sz val="12"/>
        <color theme="1"/>
        <rFont val="Times New Roman"/>
        <family val="1"/>
      </rPr>
      <t>Hospitality</t>
    </r>
  </si>
  <si>
    <r>
      <rPr>
        <sz val="12"/>
        <color theme="1"/>
        <rFont val="Times New Roman"/>
        <family val="1"/>
      </rPr>
      <t>Uniforms</t>
    </r>
  </si>
  <si>
    <r>
      <rPr>
        <sz val="12"/>
        <color theme="1"/>
        <rFont val="Times New Roman"/>
        <family val="1"/>
      </rPr>
      <t>Common Academic Expenses</t>
    </r>
  </si>
  <si>
    <r>
      <rPr>
        <sz val="12"/>
        <color theme="1"/>
        <rFont val="Times New Roman"/>
        <family val="1"/>
      </rPr>
      <t>Common Maintenance</t>
    </r>
  </si>
  <si>
    <r>
      <rPr>
        <sz val="12"/>
        <color theme="1"/>
        <rFont val="Times New Roman"/>
        <family val="1"/>
      </rPr>
      <t>General</t>
    </r>
  </si>
  <si>
    <r>
      <rPr>
        <sz val="12"/>
        <color theme="1"/>
        <rFont val="Times New Roman"/>
        <family val="1"/>
      </rPr>
      <t>Electrical</t>
    </r>
  </si>
  <si>
    <r>
      <rPr>
        <sz val="12"/>
        <color theme="1"/>
        <rFont val="Times New Roman"/>
        <family val="1"/>
      </rPr>
      <t>Generator</t>
    </r>
  </si>
  <si>
    <r>
      <rPr>
        <sz val="12"/>
        <color theme="1"/>
        <rFont val="Times New Roman"/>
        <family val="1"/>
      </rPr>
      <t>Water Treatment Plant</t>
    </r>
  </si>
  <si>
    <r>
      <rPr>
        <sz val="12"/>
        <color theme="1"/>
        <rFont val="Times New Roman"/>
        <family val="1"/>
      </rPr>
      <t>Civil-Plumbing, Carpentry etc.,</t>
    </r>
  </si>
  <si>
    <r>
      <rPr>
        <sz val="12"/>
        <color theme="1"/>
        <rFont val="Times New Roman"/>
        <family val="1"/>
      </rPr>
      <t>Lifts</t>
    </r>
  </si>
  <si>
    <r>
      <rPr>
        <sz val="12"/>
        <color theme="1"/>
        <rFont val="Times New Roman"/>
        <family val="1"/>
      </rPr>
      <t>Air-Conditioners</t>
    </r>
  </si>
  <si>
    <r>
      <rPr>
        <sz val="12"/>
        <color theme="1"/>
        <rFont val="Times New Roman"/>
        <family val="1"/>
      </rPr>
      <t>Sewage Water Treatment</t>
    </r>
  </si>
  <si>
    <r>
      <rPr>
        <sz val="12"/>
        <color theme="1"/>
        <rFont val="Times New Roman"/>
        <family val="1"/>
      </rPr>
      <t>Gardening</t>
    </r>
  </si>
  <si>
    <t xml:space="preserve">Planning to submit DST Call for Proposal on establishing Quantum Science and Technology Laboratory </t>
  </si>
  <si>
    <t xml:space="preserve">Expecting the Grant from DST to establish Quantum Technolgies laboratory </t>
  </si>
  <si>
    <t>Planning to submit ANRF Grant for organizing International Conference &amp; Expected Sponseship</t>
  </si>
  <si>
    <t>Expecting the grant from ANRF and Industrial sponsrship</t>
  </si>
  <si>
    <t xml:space="preserve">Engineering Physics Lab- Maintainance </t>
  </si>
  <si>
    <t>25000</t>
  </si>
  <si>
    <t>Yearly maintainance of laboratory instruments</t>
  </si>
  <si>
    <r>
      <rPr>
        <b/>
        <sz val="12"/>
        <color theme="1"/>
        <rFont val="Times New Roman"/>
        <family val="1"/>
      </rPr>
      <t>Total</t>
    </r>
  </si>
  <si>
    <t>Date:11/03/2026</t>
  </si>
  <si>
    <t>Unit Price (Rs)</t>
  </si>
  <si>
    <t>Amount (Rs)</t>
  </si>
  <si>
    <t xml:space="preserve">Registrar Office </t>
  </si>
  <si>
    <t>All pins (Box)</t>
  </si>
  <si>
    <t>Ball pen U/T Blue</t>
  </si>
  <si>
    <t>Ball pen U/T Red</t>
  </si>
  <si>
    <t>Ball pen Blue</t>
  </si>
  <si>
    <t>Ball pen Red</t>
  </si>
  <si>
    <t>Gel pen Green</t>
  </si>
  <si>
    <t>Cello tape</t>
  </si>
  <si>
    <t>Highlighter</t>
  </si>
  <si>
    <t>L folders</t>
  </si>
  <si>
    <t>Punching machine</t>
  </si>
  <si>
    <t>Pencils (pack)</t>
  </si>
  <si>
    <t>Register (100 pages)</t>
  </si>
  <si>
    <t>Register (200 pages)</t>
  </si>
  <si>
    <t>Stapler</t>
  </si>
  <si>
    <t>Stapler pins</t>
  </si>
  <si>
    <t>Scribbling pads</t>
  </si>
  <si>
    <t>Scale</t>
  </si>
  <si>
    <t>Stamp pad</t>
  </si>
  <si>
    <t>Sticky notes</t>
  </si>
  <si>
    <t>Cloth cover A3</t>
  </si>
  <si>
    <t>Cloth cover A4</t>
  </si>
  <si>
    <t>Pen holders</t>
  </si>
  <si>
    <t>Paper weights</t>
  </si>
  <si>
    <t>Key tags</t>
  </si>
  <si>
    <t>YMCKO Ribbon 300</t>
  </si>
  <si>
    <t>Cleaning Card Kit</t>
  </si>
  <si>
    <t xml:space="preserve"> Blank ID cards &amp; Tags</t>
  </si>
  <si>
    <t>PVC ID Card</t>
  </si>
  <si>
    <t>Honorarium (external members)</t>
  </si>
  <si>
    <t>Academic Council(8x2=16)+ Board of Management(5x6=30)+ Governing Body(5x4=20)</t>
  </si>
  <si>
    <t>Domestic Travel — Air / Train Tickets,</t>
  </si>
  <si>
    <t>Hotel, Per Diem ( for 2 - 3 days)</t>
  </si>
  <si>
    <t>AIU Membership &amp; Subscription</t>
  </si>
  <si>
    <t>Stamp Papers</t>
  </si>
  <si>
    <t>Date: 20.03.2026</t>
  </si>
  <si>
    <r>
      <rPr>
        <b/>
        <sz val="12"/>
        <rFont val="Times New Roman"/>
        <family val="1"/>
      </rPr>
      <t>Particulars</t>
    </r>
  </si>
  <si>
    <r>
      <rPr>
        <b/>
        <sz val="12"/>
        <rFont val="Times New Roman"/>
        <family val="1"/>
      </rPr>
      <t xml:space="preserve">Amount (Rs.
</t>
    </r>
    <r>
      <rPr>
        <b/>
        <sz val="12"/>
        <rFont val="Times New Roman"/>
        <family val="1"/>
      </rPr>
      <t>in Lakhs)</t>
    </r>
  </si>
  <si>
    <t>Gym Eqpt and Sports eqpt</t>
  </si>
  <si>
    <t>Basketball court and Badminton court</t>
  </si>
  <si>
    <t>Sports materia</t>
  </si>
  <si>
    <t>Founder's day, yoga day, National sports day, Inter university nationals and sports fest</t>
  </si>
  <si>
    <r>
      <t>Budget Co-Coordinator                 Head of the Dept.</t>
    </r>
    <r>
      <rPr>
        <b/>
        <sz val="12"/>
        <rFont val="Times New Roman"/>
        <family val="1"/>
      </rPr>
      <t xml:space="preserve">                               Dean (SOE)                                         Registrar                              President</t>
    </r>
  </si>
  <si>
    <r>
      <rPr>
        <b/>
        <sz val="14"/>
        <rFont val="Times New Roman"/>
        <family val="1"/>
      </rPr>
      <t xml:space="preserve">SREENIDHI UNIVERSITY, Hyderabad
</t>
    </r>
    <r>
      <rPr>
        <b/>
        <sz val="14"/>
        <color rgb="FFFF0000"/>
        <rFont val="Times New Roman"/>
        <family val="1"/>
      </rPr>
      <t xml:space="preserve">Name of the Department : Procurement
</t>
    </r>
    <r>
      <rPr>
        <b/>
        <sz val="12"/>
        <rFont val="Times New Roman"/>
        <family val="1"/>
      </rPr>
      <t xml:space="preserve">Details of the Proposed Budget for the Financial Year </t>
    </r>
    <r>
      <rPr>
        <b/>
        <sz val="12"/>
        <color rgb="FFFF0000"/>
        <rFont val="Times New Roman"/>
        <family val="1"/>
      </rPr>
      <t>2026-27</t>
    </r>
  </si>
  <si>
    <t>Date: 13.03.2026</t>
  </si>
  <si>
    <t>Procurement Dept</t>
  </si>
  <si>
    <t>MS Racks</t>
  </si>
  <si>
    <t>New Store Setup</t>
  </si>
  <si>
    <t>Executive Table</t>
  </si>
  <si>
    <t>Computer Table</t>
  </si>
  <si>
    <t>Trolly</t>
  </si>
  <si>
    <t>Weighing Machine</t>
  </si>
  <si>
    <t>Almirah</t>
  </si>
  <si>
    <t>Printer With Scaner</t>
  </si>
  <si>
    <t xml:space="preserve">Pallets </t>
  </si>
  <si>
    <t>Stationery</t>
  </si>
  <si>
    <t>LS</t>
  </si>
  <si>
    <t>Date: 20.03.2026</t>
    <phoneticPr fontId="12" type="noConversion"/>
  </si>
  <si>
    <t>High end computer</t>
    <phoneticPr fontId="12" type="noConversion"/>
  </si>
  <si>
    <t>For research to run the programmes</t>
    <phoneticPr fontId="12" type="noConversion"/>
  </si>
  <si>
    <t>Conducting FDPs</t>
    <phoneticPr fontId="12" type="noConversion"/>
  </si>
  <si>
    <t>~0.7</t>
    <phoneticPr fontId="12" type="noConversion"/>
  </si>
  <si>
    <t>Ateend conferences</t>
    <phoneticPr fontId="12" type="noConversion"/>
  </si>
  <si>
    <t>Deparmental stationary</t>
    <phoneticPr fontId="12" type="noConversion"/>
  </si>
  <si>
    <t>Pens, stapler, files, etc</t>
    <phoneticPr fontId="12" type="noConversion"/>
  </si>
  <si>
    <r>
      <rPr>
        <b/>
        <sz val="14"/>
        <rFont val="Times New Roman"/>
        <family val="1"/>
      </rPr>
      <t xml:space="preserve">SREENIDHI UNIVERSITY, Hyderabad
</t>
    </r>
    <r>
      <rPr>
        <b/>
        <sz val="14"/>
        <color rgb="FFFF0000"/>
        <rFont val="Times New Roman"/>
        <family val="1"/>
      </rPr>
      <t xml:space="preserve">CETLI / Academic Planning &amp; Strategy
</t>
    </r>
    <r>
      <rPr>
        <b/>
        <sz val="12"/>
        <rFont val="Times New Roman"/>
        <family val="1"/>
      </rPr>
      <t xml:space="preserve">Details of the Proposed Budget for the Financial Year </t>
    </r>
    <r>
      <rPr>
        <b/>
        <sz val="12"/>
        <color rgb="FFFF0000"/>
        <rFont val="Times New Roman"/>
        <family val="1"/>
      </rPr>
      <t>2026-27</t>
    </r>
  </si>
  <si>
    <t>Date:25.03.2026</t>
  </si>
  <si>
    <t>Infrastructure-Offices/Software(s)</t>
  </si>
  <si>
    <t>Depends on the nature of the component</t>
  </si>
  <si>
    <t>FDPs/Workshops/Meetings/Reviews/Certifications</t>
  </si>
  <si>
    <t>Depends on the nature of the activity</t>
  </si>
  <si>
    <r>
      <rPr>
        <b/>
        <sz val="14"/>
        <rFont val="Times New Roman"/>
        <family val="1"/>
      </rPr>
      <t xml:space="preserve">SREENIDHI UNIVERSITY, Hyderabad
</t>
    </r>
    <r>
      <rPr>
        <b/>
        <sz val="14"/>
        <color rgb="FFFF0000"/>
        <rFont val="Times New Roman"/>
        <family val="1"/>
      </rPr>
      <t xml:space="preserve">Electrical Electronics and Commuication Engineering (EECE)
</t>
    </r>
    <r>
      <rPr>
        <b/>
        <sz val="12"/>
        <rFont val="Times New Roman"/>
        <family val="1"/>
      </rPr>
      <t xml:space="preserve">Details of the Proposed Budget for the Financial Year </t>
    </r>
    <r>
      <rPr>
        <b/>
        <sz val="12"/>
        <color rgb="FFFF0000"/>
        <rFont val="Times New Roman"/>
        <family val="1"/>
      </rPr>
      <t>2026-27</t>
    </r>
  </si>
  <si>
    <r>
      <rPr>
        <b/>
        <sz val="12"/>
        <rFont val="Times New Roman"/>
        <family val="1"/>
      </rPr>
      <t xml:space="preserve">Specifications /
</t>
    </r>
    <r>
      <rPr>
        <b/>
        <sz val="12"/>
        <rFont val="Times New Roman"/>
        <family val="1"/>
      </rPr>
      <t>Description</t>
    </r>
  </si>
  <si>
    <r>
      <rPr>
        <b/>
        <sz val="12"/>
        <rFont val="Times New Roman"/>
        <family val="1"/>
      </rPr>
      <t>Quantity</t>
    </r>
  </si>
  <si>
    <r>
      <rPr>
        <b/>
        <sz val="12"/>
        <rFont val="Times New Roman"/>
        <family val="1"/>
      </rPr>
      <t xml:space="preserve">Unit Price (Rs.
</t>
    </r>
    <r>
      <rPr>
        <b/>
        <sz val="12"/>
        <rFont val="Times New Roman"/>
        <family val="1"/>
      </rPr>
      <t>in Lakhs)</t>
    </r>
  </si>
  <si>
    <r>
      <rPr>
        <sz val="12"/>
        <rFont val="Times New Roman"/>
        <family val="1"/>
      </rPr>
      <t>Laboratory</t>
    </r>
  </si>
  <si>
    <r>
      <rPr>
        <sz val="12"/>
        <rFont val="Times New Roman"/>
        <family val="1"/>
      </rPr>
      <t>Non-Recurring</t>
    </r>
  </si>
  <si>
    <r>
      <rPr>
        <sz val="12"/>
        <rFont val="Times New Roman"/>
        <family val="1"/>
      </rPr>
      <t>Equipment</t>
    </r>
  </si>
  <si>
    <t>Arduino Uno (arduino nano 33 iot price)</t>
  </si>
  <si>
    <t>Shown Under R&amp;D</t>
  </si>
  <si>
    <t xml:space="preserve">NodeMCU/ESP32 </t>
  </si>
  <si>
    <t>Raspberry Pi 4 (8GB)</t>
  </si>
  <si>
    <t>Raspberry Pi 4 (4GB)</t>
  </si>
  <si>
    <t>NVIDIA Jetson Nano</t>
  </si>
  <si>
    <t>STM32 IoT Kits</t>
  </si>
  <si>
    <t>Temperature Sensors</t>
  </si>
  <si>
    <t>Humidity Sensors</t>
  </si>
  <si>
    <t>LDR Sensors</t>
  </si>
  <si>
    <t>Ultrasonic Sensors</t>
  </si>
  <si>
    <t>PIR Sensors</t>
  </si>
  <si>
    <t>Soil Moisture Sensors</t>
  </si>
  <si>
    <t>Gas Sensors (MQ Series)</t>
  </si>
  <si>
    <t>Wi-Fi Modules (ESP8266)</t>
  </si>
  <si>
    <t>Bluetooth Modules</t>
  </si>
  <si>
    <t>GSM Modules</t>
  </si>
  <si>
    <t>GPS Modules</t>
  </si>
  <si>
    <t>RFID Kits</t>
  </si>
  <si>
    <t>ZigBee Modules</t>
  </si>
  <si>
    <t>LoRa Modules</t>
  </si>
  <si>
    <t>Motors (DC + Servo)</t>
  </si>
  <si>
    <t>LEDs + Buzzers + Relay Kits</t>
  </si>
  <si>
    <t>Breadboard Kits</t>
  </si>
  <si>
    <t>Power Adapters</t>
  </si>
  <si>
    <t>Digital Multimeters</t>
  </si>
  <si>
    <t>Oscilloscope</t>
  </si>
  <si>
    <t>Soldering Station</t>
  </si>
  <si>
    <t>IoT Gateway &amp; Edge Server</t>
  </si>
  <si>
    <t>Industry Collaboration</t>
  </si>
  <si>
    <t>MATLAB IoT Toolbox</t>
  </si>
  <si>
    <t>Cloud Credits (AWS/Azure)</t>
  </si>
  <si>
    <t>IoT Platforms (Blynk/ThingsBoard)</t>
  </si>
  <si>
    <t>Cisco Packet Tracer Training</t>
  </si>
  <si>
    <t>Database &amp; Visualization Tools</t>
  </si>
  <si>
    <r>
      <rPr>
        <sz val="12"/>
        <rFont val="Times New Roman"/>
        <family val="1"/>
      </rPr>
      <t>Computers</t>
    </r>
  </si>
  <si>
    <t xml:space="preserve">Mid Range </t>
  </si>
  <si>
    <t>IoT lab Establishment for 30 student capacity</t>
  </si>
  <si>
    <t>High End</t>
  </si>
  <si>
    <t>Spares/Accessories</t>
  </si>
  <si>
    <t>Printer</t>
  </si>
  <si>
    <r>
      <rPr>
        <sz val="12"/>
        <rFont val="Times New Roman"/>
        <family val="1"/>
      </rPr>
      <t>Others (Specify)</t>
    </r>
  </si>
  <si>
    <r>
      <rPr>
        <sz val="12"/>
        <rFont val="Times New Roman"/>
        <family val="1"/>
      </rPr>
      <t>Recurring</t>
    </r>
  </si>
  <si>
    <r>
      <rPr>
        <sz val="12"/>
        <rFont val="Times New Roman"/>
        <family val="1"/>
      </rPr>
      <t>Consumables</t>
    </r>
  </si>
  <si>
    <r>
      <rPr>
        <sz val="12"/>
        <rFont val="Times New Roman"/>
        <family val="1"/>
      </rPr>
      <t>Maintenance</t>
    </r>
  </si>
  <si>
    <r>
      <rPr>
        <sz val="12"/>
        <rFont val="Times New Roman"/>
        <family val="1"/>
      </rPr>
      <t>Stationary</t>
    </r>
  </si>
  <si>
    <r>
      <rPr>
        <sz val="12"/>
        <rFont val="Times New Roman"/>
        <family val="1"/>
      </rPr>
      <t>Students Activities (Co-curricular)</t>
    </r>
  </si>
  <si>
    <r>
      <rPr>
        <sz val="12"/>
        <rFont val="Times New Roman"/>
        <family val="1"/>
      </rPr>
      <t>Organizing</t>
    </r>
  </si>
  <si>
    <r>
      <rPr>
        <sz val="12"/>
        <rFont val="Times New Roman"/>
        <family val="1"/>
      </rPr>
      <t>Attending</t>
    </r>
  </si>
  <si>
    <r>
      <rPr>
        <sz val="12"/>
        <rFont val="Times New Roman"/>
        <family val="1"/>
      </rPr>
      <t>FDP/STTP/ Workshop / Seminar / Conferences, etc.,</t>
    </r>
  </si>
  <si>
    <t>Organizing</t>
  </si>
  <si>
    <t>Work Shop</t>
  </si>
  <si>
    <t>Attending (10)</t>
  </si>
  <si>
    <t>Work Shop/FDP/Conference</t>
  </si>
  <si>
    <r>
      <rPr>
        <sz val="12"/>
        <rFont val="Times New Roman"/>
        <family val="1"/>
      </rPr>
      <t>Travel</t>
    </r>
  </si>
  <si>
    <r>
      <rPr>
        <sz val="12"/>
        <rFont val="Times New Roman"/>
        <family val="1"/>
      </rPr>
      <t>R&amp;D</t>
    </r>
  </si>
  <si>
    <t>Edge AI Platforms</t>
  </si>
  <si>
    <t>NVIDIA Jetson Orin Nano / Xavier</t>
  </si>
  <si>
    <t>Google Coral TPU / Intel Movidius</t>
  </si>
  <si>
    <t>FPGA Platforms</t>
  </si>
  <si>
    <t>Xilinx / Intel FPGA Boards</t>
  </si>
  <si>
    <t>FPGA Design Software</t>
  </si>
  <si>
    <t>Academic</t>
  </si>
  <si>
    <t>Missleneous</t>
  </si>
  <si>
    <r>
      <rPr>
        <sz val="12"/>
        <rFont val="Times New Roman"/>
        <family val="1"/>
      </rPr>
      <t>Library</t>
    </r>
  </si>
  <si>
    <r>
      <rPr>
        <sz val="12"/>
        <rFont val="Times New Roman"/>
        <family val="1"/>
      </rPr>
      <t>Text books</t>
    </r>
  </si>
  <si>
    <r>
      <rPr>
        <sz val="12"/>
        <rFont val="Times New Roman"/>
        <family val="1"/>
      </rPr>
      <t>Reference books</t>
    </r>
  </si>
  <si>
    <r>
      <rPr>
        <sz val="12"/>
        <rFont val="Times New Roman"/>
        <family val="1"/>
      </rPr>
      <t>Journals/Periodicals</t>
    </r>
  </si>
  <si>
    <r>
      <rPr>
        <sz val="12"/>
        <rFont val="Times New Roman"/>
        <family val="1"/>
      </rPr>
      <t>CD’s / Digital Library</t>
    </r>
  </si>
  <si>
    <r>
      <rPr>
        <sz val="12"/>
        <rFont val="Times New Roman"/>
        <family val="1"/>
      </rPr>
      <t>Magazines</t>
    </r>
  </si>
  <si>
    <r>
      <rPr>
        <sz val="12"/>
        <rFont val="Times New Roman"/>
        <family val="1"/>
      </rPr>
      <t>Sports</t>
    </r>
  </si>
  <si>
    <r>
      <rPr>
        <sz val="12"/>
        <rFont val="Times New Roman"/>
        <family val="1"/>
      </rPr>
      <t>Teaching</t>
    </r>
  </si>
  <si>
    <r>
      <rPr>
        <sz val="12"/>
        <rFont val="Times New Roman"/>
        <family val="1"/>
      </rPr>
      <t>Non-Teaching</t>
    </r>
  </si>
  <si>
    <r>
      <rPr>
        <sz val="12"/>
        <rFont val="Times New Roman"/>
        <family val="1"/>
      </rPr>
      <t>Health Centre</t>
    </r>
  </si>
  <si>
    <r>
      <rPr>
        <sz val="12"/>
        <rFont val="Times New Roman"/>
        <family val="1"/>
      </rPr>
      <t xml:space="preserve">NSS/YRC/NCC – Any
</t>
    </r>
    <r>
      <rPr>
        <sz val="12"/>
        <rFont val="Times New Roman"/>
        <family val="1"/>
      </rPr>
      <t>other Club Activities</t>
    </r>
  </si>
  <si>
    <r>
      <rPr>
        <sz val="12"/>
        <rFont val="Times New Roman"/>
        <family val="1"/>
      </rPr>
      <t>Common Functions</t>
    </r>
  </si>
  <si>
    <r>
      <rPr>
        <sz val="12"/>
        <rFont val="Times New Roman"/>
        <family val="1"/>
      </rPr>
      <t>I year Orientation Program</t>
    </r>
  </si>
  <si>
    <r>
      <rPr>
        <sz val="12"/>
        <rFont val="Times New Roman"/>
        <family val="1"/>
      </rPr>
      <t>Founders Day / University Day</t>
    </r>
  </si>
  <si>
    <r>
      <rPr>
        <sz val="12"/>
        <rFont val="Times New Roman"/>
        <family val="1"/>
      </rPr>
      <t>Staff Day</t>
    </r>
  </si>
  <si>
    <r>
      <rPr>
        <sz val="12"/>
        <rFont val="Times New Roman"/>
        <family val="1"/>
      </rPr>
      <t>Alumni Activities</t>
    </r>
  </si>
  <si>
    <r>
      <rPr>
        <sz val="12"/>
        <rFont val="Times New Roman"/>
        <family val="1"/>
      </rPr>
      <t>Common Expenses</t>
    </r>
  </si>
  <si>
    <r>
      <rPr>
        <sz val="12"/>
        <rFont val="Times New Roman"/>
        <family val="1"/>
      </rPr>
      <t>Water</t>
    </r>
  </si>
  <si>
    <r>
      <rPr>
        <sz val="12"/>
        <rFont val="Times New Roman"/>
        <family val="1"/>
      </rPr>
      <t>Telephone</t>
    </r>
  </si>
  <si>
    <r>
      <rPr>
        <sz val="12"/>
        <rFont val="Times New Roman"/>
        <family val="1"/>
      </rPr>
      <t>Postage</t>
    </r>
  </si>
  <si>
    <r>
      <rPr>
        <sz val="12"/>
        <rFont val="Times New Roman"/>
        <family val="1"/>
      </rPr>
      <t>Hospitality</t>
    </r>
  </si>
  <si>
    <r>
      <rPr>
        <sz val="12"/>
        <rFont val="Times New Roman"/>
        <family val="1"/>
      </rPr>
      <t>Uniforms</t>
    </r>
  </si>
  <si>
    <r>
      <rPr>
        <sz val="12"/>
        <rFont val="Times New Roman"/>
        <family val="1"/>
      </rPr>
      <t>Common Academic Expenses</t>
    </r>
  </si>
  <si>
    <r>
      <rPr>
        <sz val="12"/>
        <rFont val="Times New Roman"/>
        <family val="1"/>
      </rPr>
      <t>Common Maintenance</t>
    </r>
  </si>
  <si>
    <r>
      <rPr>
        <sz val="12"/>
        <rFont val="Times New Roman"/>
        <family val="1"/>
      </rPr>
      <t>General</t>
    </r>
  </si>
  <si>
    <r>
      <rPr>
        <sz val="12"/>
        <rFont val="Times New Roman"/>
        <family val="1"/>
      </rPr>
      <t>Electrical</t>
    </r>
  </si>
  <si>
    <r>
      <rPr>
        <sz val="12"/>
        <rFont val="Times New Roman"/>
        <family val="1"/>
      </rPr>
      <t>Generator</t>
    </r>
  </si>
  <si>
    <r>
      <rPr>
        <sz val="12"/>
        <rFont val="Times New Roman"/>
        <family val="1"/>
      </rPr>
      <t>Water Treatment Plant</t>
    </r>
  </si>
  <si>
    <r>
      <rPr>
        <sz val="12"/>
        <rFont val="Times New Roman"/>
        <family val="1"/>
      </rPr>
      <t>Civil-Plumbing, Carpentry etc.,</t>
    </r>
  </si>
  <si>
    <r>
      <rPr>
        <sz val="12"/>
        <rFont val="Times New Roman"/>
        <family val="1"/>
      </rPr>
      <t>Lifts</t>
    </r>
  </si>
  <si>
    <r>
      <rPr>
        <sz val="12"/>
        <rFont val="Times New Roman"/>
        <family val="1"/>
      </rPr>
      <t>Air-Conditioners</t>
    </r>
  </si>
  <si>
    <r>
      <rPr>
        <sz val="12"/>
        <rFont val="Times New Roman"/>
        <family val="1"/>
      </rPr>
      <t>Sewage Water Treatment</t>
    </r>
  </si>
  <si>
    <r>
      <rPr>
        <sz val="12"/>
        <rFont val="Times New Roman"/>
        <family val="1"/>
      </rPr>
      <t>Gardening</t>
    </r>
  </si>
  <si>
    <r>
      <rPr>
        <b/>
        <sz val="12"/>
        <rFont val="Times New Roman"/>
        <family val="1"/>
      </rPr>
      <t>Total</t>
    </r>
  </si>
  <si>
    <t>SREENIDHI UNIVERSITY, Hyderabad</t>
  </si>
  <si>
    <t>University Library</t>
  </si>
  <si>
    <r>
      <t xml:space="preserve">Details of the Proposed Budget for the Financial Year </t>
    </r>
    <r>
      <rPr>
        <b/>
        <sz val="12"/>
        <color rgb="FFFF0000"/>
        <rFont val="Times New Roman"/>
        <family val="1"/>
      </rPr>
      <t>2026-27</t>
    </r>
  </si>
  <si>
    <t>Date: 20-03-2026</t>
  </si>
  <si>
    <t>Particulars</t>
  </si>
  <si>
    <t>Specifications /</t>
  </si>
  <si>
    <t>Unit Price (Rs.</t>
  </si>
  <si>
    <t>Amount (Rs.</t>
  </si>
  <si>
    <t>Description</t>
  </si>
  <si>
    <t>in Lakhs)</t>
  </si>
  <si>
    <t>Library</t>
  </si>
  <si>
    <r>
      <t> </t>
    </r>
    <r>
      <rPr>
        <b/>
        <sz val="12"/>
        <color rgb="FF000000"/>
        <rFont val="Times New Roman"/>
        <family val="1"/>
      </rPr>
      <t>Glass Almira for Books</t>
    </r>
  </si>
  <si>
    <t> 5</t>
  </si>
  <si>
    <r>
      <t> </t>
    </r>
    <r>
      <rPr>
        <b/>
        <sz val="13"/>
        <color rgb="FF000000"/>
        <rFont val="Times New Roman"/>
        <family val="1"/>
      </rPr>
      <t>65,000</t>
    </r>
  </si>
  <si>
    <r>
      <t xml:space="preserve"> </t>
    </r>
    <r>
      <rPr>
        <b/>
        <sz val="10"/>
        <color rgb="FF000000"/>
        <rFont val="Times New Roman"/>
        <family val="1"/>
      </rPr>
      <t>Librarian Table, + Books Carrier +Stepping Stool</t>
    </r>
  </si>
  <si>
    <t>1+1+1</t>
  </si>
  <si>
    <t>20000+7000+3000</t>
  </si>
  <si>
    <t>Text books</t>
  </si>
  <si>
    <r>
      <t> </t>
    </r>
    <r>
      <rPr>
        <b/>
        <sz val="12"/>
        <color rgb="FF000000"/>
        <rFont val="Times New Roman"/>
        <family val="1"/>
      </rPr>
      <t>1yr-&amp;2yr &amp;3</t>
    </r>
    <r>
      <rPr>
        <b/>
        <vertAlign val="superscript"/>
        <sz val="12"/>
        <color rgb="FF000000"/>
        <rFont val="Times New Roman"/>
        <family val="1"/>
      </rPr>
      <t>rd</t>
    </r>
    <r>
      <rPr>
        <b/>
        <sz val="12"/>
        <color rgb="FF000000"/>
        <rFont val="Times New Roman"/>
        <family val="1"/>
      </rPr>
      <t xml:space="preserve"> Years</t>
    </r>
  </si>
  <si>
    <t>  35,00,000</t>
  </si>
  <si>
    <t>Reference books</t>
  </si>
  <si>
    <r>
      <t>UPSC. Bank-POs,</t>
    </r>
    <r>
      <rPr>
        <sz val="10"/>
        <color rgb="FF000000"/>
        <rFont val="Times New Roman"/>
        <family val="1"/>
      </rPr>
      <t xml:space="preserve"> Subject</t>
    </r>
    <r>
      <rPr>
        <b/>
        <sz val="12"/>
        <color rgb="FF000000"/>
        <rFont val="Times New Roman"/>
        <family val="1"/>
      </rPr>
      <t xml:space="preserve"> Dictionaries, Encyclopaedias,</t>
    </r>
  </si>
  <si>
    <t> 300</t>
  </si>
  <si>
    <r>
      <t> </t>
    </r>
    <r>
      <rPr>
        <b/>
        <sz val="13"/>
        <color rgb="FF000000"/>
        <rFont val="Times New Roman"/>
        <family val="1"/>
      </rPr>
      <t>1,50,000</t>
    </r>
  </si>
  <si>
    <t>Journals/Periodicals</t>
  </si>
  <si>
    <r>
      <t> </t>
    </r>
    <r>
      <rPr>
        <b/>
        <sz val="12"/>
        <color rgb="FF000000"/>
        <rFont val="Times New Roman"/>
        <family val="1"/>
      </rPr>
      <t>Print Journals</t>
    </r>
  </si>
  <si>
    <t>37 </t>
  </si>
  <si>
    <r>
      <t xml:space="preserve">  </t>
    </r>
    <r>
      <rPr>
        <b/>
        <sz val="13"/>
        <color rgb="FF000000"/>
        <rFont val="Times New Roman"/>
        <family val="1"/>
      </rPr>
      <t>1,04,185</t>
    </r>
  </si>
  <si>
    <t>CD’s / Digital Library</t>
  </si>
  <si>
    <t>(journals, E-Books, &amp; Conference Proceedings)</t>
  </si>
  <si>
    <t>1+1+1+1+1&amp; 1</t>
  </si>
  <si>
    <r>
      <t>Ap</t>
    </r>
    <r>
      <rPr>
        <b/>
        <sz val="10"/>
        <color rgb="FF000000"/>
        <rFont val="Times New Roman"/>
        <family val="1"/>
      </rPr>
      <t>proximately      2,50,000</t>
    </r>
  </si>
  <si>
    <r>
      <t xml:space="preserve">     9</t>
    </r>
    <r>
      <rPr>
        <b/>
        <sz val="13"/>
        <color rgb="FF000000"/>
        <rFont val="Times New Roman"/>
        <family val="1"/>
      </rPr>
      <t xml:space="preserve">0,00,000  </t>
    </r>
    <r>
      <rPr>
        <sz val="13"/>
        <color rgb="FF000000"/>
        <rFont val="Times New Roman"/>
        <family val="1"/>
      </rPr>
      <t>2,50,000</t>
    </r>
  </si>
  <si>
    <t>IEEE, Scopus, Spinger, Elsevier, ACM</t>
  </si>
  <si>
    <t>Knibus or Map My Access</t>
  </si>
  <si>
    <t>Magazines &amp; News Papers</t>
  </si>
  <si>
    <r>
      <t> </t>
    </r>
    <r>
      <rPr>
        <b/>
        <sz val="12"/>
        <color rgb="FF000000"/>
        <rFont val="Times New Roman"/>
        <family val="1"/>
      </rPr>
      <t>Magazines &amp; News Papers</t>
    </r>
  </si>
  <si>
    <t> 30,000</t>
  </si>
  <si>
    <t>  </t>
  </si>
  <si>
    <t>Budget Co-Coordinator                 Head of the Dept.                     Dean (SoE)                        Registrar                     Vice-Chancellor                        President</t>
  </si>
  <si>
    <r>
      <rPr>
        <b/>
        <sz val="14"/>
        <rFont val="Times New Roman"/>
        <family val="1"/>
      </rPr>
      <t xml:space="preserve">SREENIDHI UNIVERSITY, Hyderabad
</t>
    </r>
    <r>
      <rPr>
        <b/>
        <sz val="14"/>
        <color rgb="FFFF0000"/>
        <rFont val="Times New Roman"/>
        <family val="1"/>
      </rPr>
      <t xml:space="preserve">Research and Development
</t>
    </r>
    <r>
      <rPr>
        <b/>
        <sz val="12"/>
        <rFont val="Times New Roman"/>
        <family val="1"/>
      </rPr>
      <t xml:space="preserve">Details of the Proposed Budget for the Financial Year </t>
    </r>
    <r>
      <rPr>
        <b/>
        <sz val="12"/>
        <color rgb="FFFF0000"/>
        <rFont val="Times New Roman"/>
        <family val="1"/>
      </rPr>
      <t>2026-27</t>
    </r>
  </si>
  <si>
    <t>R&amp;D</t>
  </si>
  <si>
    <t xml:space="preserve">Establishment of Research Centres </t>
  </si>
  <si>
    <t>The proposed research centres are envisioned as interdisciplinary hubs focusing on emerging and impactful domains of science, engineering, and technology. Each centre will integrate advanced research, industry collaboration, and academic excellence to address real-world challenges.</t>
  </si>
  <si>
    <t>The establishment of these research centres are justified by the growing need for interdisciplinary innovation, industry relevance, and societal impact.</t>
  </si>
  <si>
    <t>Faculty members of Sreenidhi University submitted 23 R&amp;D proposals under the Internal SEED Grant scheme, and finally 17 are recommended.</t>
  </si>
  <si>
    <t>The proposals are recommended based on merit</t>
  </si>
  <si>
    <t>National Level Hackathon 2026</t>
  </si>
  <si>
    <t>1st Prize        25000
2nd Prize        15000
3rd Prize        10000
Welcome Kit        20000
Food &amp; Refreshments        120000
Misc        60000</t>
  </si>
  <si>
    <t>Coding Marathon</t>
  </si>
  <si>
    <t>1st Prize        5000
2nd Prize        3000
3rd Prize        2000
Special Recoginition 1        1000
Special Recoginition 2        1000
Misc        8000</t>
  </si>
  <si>
    <t>Workshop on UI/UX</t>
  </si>
  <si>
    <t>Resourse Person	15000
Misc	10000</t>
  </si>
  <si>
    <t>Contest Participation Strategy Bootcamp for 2-1 students (A25)</t>
  </si>
  <si>
    <t>Emerging Tech Exposure Workshop for 2-1 students (A25)</t>
  </si>
  <si>
    <t>Resourse Person	25000
Misc	10000</t>
  </si>
  <si>
    <t>Advanced Coding &amp; Interview Preparation Workshop for 3-1 students (A24)</t>
  </si>
  <si>
    <t>Mock Interviews for 3-1 students (A24)</t>
  </si>
  <si>
    <t>Resourse Person        15000
Misc        5000</t>
  </si>
  <si>
    <t>Inter-University Event - Soft Skills (Flagship)</t>
  </si>
  <si>
    <t>Prize Money- 1,00,000
Event Logistics (venue, branding, kits)- 50,000
Judges Honorarium-30,000
Promotion &amp; Outreach-20,000</t>
  </si>
  <si>
    <t>Student Engagement &amp; Development Initiatives</t>
  </si>
  <si>
    <t>Student Travel Expenses 50000
Event Registrations 20000
Subscriptions and Certifications 30000</t>
  </si>
  <si>
    <t>Departmental needs</t>
  </si>
  <si>
    <t>Unforeseen Expenses</t>
  </si>
  <si>
    <t>External Expert Sessions/ Workshops</t>
  </si>
  <si>
    <t>Resourse Person 15000
Event Logistics 5000</t>
  </si>
  <si>
    <t>Montly Skill Competitions (Soft Skills)</t>
  </si>
  <si>
    <t>Prize Money- 6000
Event Logistics - 4000</t>
  </si>
  <si>
    <t xml:space="preserve">Training kits, Printing &amp; Worksheets </t>
  </si>
  <si>
    <t>cards, charts, props &amp; stationery</t>
  </si>
  <si>
    <t>Tools &amp; Subscriptions</t>
  </si>
  <si>
    <t xml:space="preserve"> ChatGPT, Canva, Grammarly</t>
  </si>
  <si>
    <r>
      <rPr>
        <b/>
        <sz val="14"/>
        <rFont val="Times New Roman"/>
        <family val="1"/>
      </rPr>
      <t xml:space="preserve">SREENIDHI UNIVERSITY, Hyderabad
</t>
    </r>
    <r>
      <rPr>
        <b/>
        <sz val="14"/>
        <color rgb="FFFF0000"/>
        <rFont val="Times New Roman"/>
        <family val="1"/>
      </rPr>
      <t xml:space="preserve">Student Activities 
</t>
    </r>
    <r>
      <rPr>
        <b/>
        <sz val="12"/>
        <rFont val="Times New Roman"/>
        <family val="1"/>
      </rPr>
      <t xml:space="preserve">Details of the Proposed Budget for the Financial Year </t>
    </r>
    <r>
      <rPr>
        <b/>
        <sz val="12"/>
        <color rgb="FFFF0000"/>
        <rFont val="Times New Roman"/>
        <family val="1"/>
      </rPr>
      <t>2026-27</t>
    </r>
  </si>
  <si>
    <t>Students Activities (Co-curricular)</t>
  </si>
  <si>
    <t>Rs.100000</t>
  </si>
  <si>
    <t>Club Activities</t>
  </si>
  <si>
    <t>Rs.80000</t>
  </si>
  <si>
    <t>Attending</t>
  </si>
  <si>
    <t>Support for attending External Events</t>
  </si>
  <si>
    <t>Rs.200000</t>
  </si>
  <si>
    <t>Rs 3,80,000</t>
  </si>
  <si>
    <t>SAP Application Support &amp; Development (Sutherland)</t>
  </si>
  <si>
    <t xml:space="preserve">SAP Cloud Server (MSR-IT) </t>
  </si>
  <si>
    <t>SAP Integrated Program</t>
  </si>
  <si>
    <t>Messaging</t>
  </si>
  <si>
    <t>Sreenidhi.ai</t>
  </si>
  <si>
    <t>DEC or equivalent membership</t>
  </si>
  <si>
    <t>Turnitin</t>
  </si>
  <si>
    <t>Overall Budgetary Requirements of the Non-Academic Departments</t>
  </si>
  <si>
    <t>(Academic Year 2026-27)</t>
  </si>
  <si>
    <t xml:space="preserve">Name of the department : </t>
  </si>
  <si>
    <t>SAP/Other Applications</t>
  </si>
  <si>
    <t>Date :</t>
  </si>
  <si>
    <t xml:space="preserve">Description of the Item(s) </t>
  </si>
  <si>
    <t>Out Standing</t>
  </si>
  <si>
    <t>Quarter-1</t>
  </si>
  <si>
    <t>Quarter-2</t>
  </si>
  <si>
    <t>Quarter-3</t>
  </si>
  <si>
    <t>Quarter-4</t>
  </si>
  <si>
    <t>Quarter-5</t>
  </si>
  <si>
    <t>Overall Expenditure</t>
  </si>
  <si>
    <t>Remarks, if any</t>
  </si>
  <si>
    <t>Till Mar 2026</t>
  </si>
  <si>
    <t>(Apr-Jun 2026)</t>
  </si>
  <si>
    <t>(Jul-Sep 2026)</t>
  </si>
  <si>
    <t>(Oct-Dec2026)</t>
  </si>
  <si>
    <t>(Jan-Mar 2027)</t>
  </si>
  <si>
    <t>Due + (Quarters 1 to 4)</t>
  </si>
  <si>
    <t>Expenditure in Rs.</t>
  </si>
  <si>
    <t>Expenditure Estimate in Rs.</t>
  </si>
  <si>
    <t xml:space="preserve"> Expenditure Estimate in Rs.</t>
  </si>
  <si>
    <t>A. RECURRING</t>
  </si>
  <si>
    <t>SAP Annual Maintenance Contract (SAP India)</t>
  </si>
  <si>
    <t>S/4 HANA, Student licenses, Payroll, SF,  etc., - Paid yearly
Contract dates: Jan 26 - Dec 27
70% SNIST and 30% SU</t>
  </si>
  <si>
    <t>For Support &amp; Enhancement (2400 Hrs. @ 1175 / Hr) Paid monthly
Contract dates: Feb 26 - Jan 27
70% SNIST and 30% SU</t>
  </si>
  <si>
    <r>
      <rPr>
        <sz val="10"/>
        <color theme="1"/>
        <rFont val="Calibri"/>
        <family val="2"/>
      </rPr>
      <t xml:space="preserve">Average monthly 1.6L… After migration, DEV and QAS to on-prem. - Paid monthly
Contract dates: Apr 25 - Mar 26
70% SNIST and 30% SU
</t>
    </r>
    <r>
      <rPr>
        <sz val="10"/>
        <color rgb="FFFF0000"/>
        <rFont val="Calibri"/>
        <family val="2"/>
      </rPr>
      <t>We can avoid this cost provided we upgrade the on-prem infrastructure and migrate PRD to on-prem</t>
    </r>
  </si>
  <si>
    <t>For 60 students, 2025 batch and 120 Students 2026 batch
Program cost of 2.8L per student
Included credit for 35 Add-0n @55k/student</t>
  </si>
  <si>
    <r>
      <rPr>
        <sz val="10"/>
        <color theme="1"/>
        <rFont val="Calibri"/>
        <family val="2"/>
      </rPr>
      <t xml:space="preserve">WhatsApp(20p Utility) Attendance, Fees
WhatsApp (85p Transactional) Admissions. SMS (13p)
</t>
    </r>
    <r>
      <rPr>
        <sz val="10"/>
        <color rgb="FFFF0000"/>
        <rFont val="Calibri"/>
        <family val="2"/>
      </rPr>
      <t xml:space="preserve">For the Student messaging, we can reduce with the Parent App in </t>
    </r>
    <r>
      <rPr>
        <u/>
        <sz val="10"/>
        <color rgb="FFFF0000"/>
        <rFont val="Calibri"/>
        <family val="2"/>
      </rPr>
      <t>sreenidhi.ai</t>
    </r>
  </si>
  <si>
    <t>For existing 1000 students plus 1200 new admissions
Per year 1350/student</t>
  </si>
  <si>
    <t>Enable AI Literacy and create a policy for the use of GenAI in Teaching and Learning practices</t>
  </si>
  <si>
    <t xml:space="preserve">As per the request from the Academics for of assignments and plagiarism check for Research publications </t>
  </si>
  <si>
    <t>Bees</t>
  </si>
  <si>
    <t xml:space="preserve">In use by CoE for final exam papers evaluation
Rs 10 per paper </t>
  </si>
  <si>
    <t>CodeChef</t>
  </si>
  <si>
    <t>As per the request from the Academics for coding practice</t>
  </si>
  <si>
    <t>LitQ</t>
  </si>
  <si>
    <t>As per the request from the Academics for Psychometric assessment</t>
  </si>
  <si>
    <t>Pod.ai</t>
  </si>
  <si>
    <t>As per the request from the Placements for readiness with student recruitments</t>
  </si>
  <si>
    <t>SmartInterviews Hive</t>
  </si>
  <si>
    <t>Gayatri Solutions</t>
  </si>
  <si>
    <t>Merito</t>
  </si>
  <si>
    <t xml:space="preserve">In use by Admissions for Lead to Admission confirmation
Application + Telephony </t>
  </si>
  <si>
    <t>Wheebox</t>
  </si>
  <si>
    <t>For conducting SUCET - Pending contract finalisation  @200 per exam</t>
  </si>
  <si>
    <t>Total (A)</t>
  </si>
  <si>
    <t>B. NON-RECURRING</t>
  </si>
  <si>
    <t>Additional SAP licenses</t>
  </si>
  <si>
    <t>SAP Professional + App Ltd. Prof. User  -  10 (5 CC + 5 CB)
SAP Educational Services for HER (Student users) - 6000
SAP SFSF Employee Central  - 300
30% SNIST and 70% SU</t>
  </si>
  <si>
    <t>Website rebuild &amp; SEO</t>
  </si>
  <si>
    <t>SRV charges for development and SEO</t>
  </si>
  <si>
    <t>Total (B)</t>
  </si>
  <si>
    <t>GRAND TOTAL (A+B)</t>
  </si>
  <si>
    <t>Head of the Department</t>
  </si>
  <si>
    <t>To be Verified</t>
  </si>
  <si>
    <t>(Quarters 1 to 4)</t>
  </si>
  <si>
    <t>Pioneer/Neolog (7L for 1.2GB) yearly… Paid on quarterly basis…</t>
  </si>
  <si>
    <t>Microsoft licenses</t>
  </si>
  <si>
    <t>Windows OS (25) and MS office (25)
Contract date: Feb 25 - Feb 26</t>
  </si>
  <si>
    <t>Hosting/Domain/SSL charges are 50k for 3 years and is already paid
Contract date: Feb 25 - Feb 27</t>
  </si>
  <si>
    <t>Point-to-point assured leased line. Quote received from Jio (1G - 14L) for yearly service. A
Alternatively, increase bandwidth with existing service providers, and the cost will come down.</t>
  </si>
  <si>
    <t>For BBA Student - 120 subscriptions with a yearly contract. Pricing available from Google Workspace</t>
  </si>
  <si>
    <t>For BBA Student - 500 subscriptions with a yearly contract based on quote from TLS</t>
  </si>
  <si>
    <t>Rec</t>
  </si>
  <si>
    <t xml:space="preserve">For the academic year - 72*10 labs 30 staff </t>
  </si>
  <si>
    <t xml:space="preserve">Laptops (10), MF Printers (10), Projector (10), Interactive Panel (2), </t>
  </si>
  <si>
    <t>Headsets, Keyboard, Mice, Webcam Pocket speakers etc.,</t>
  </si>
  <si>
    <t>Access points for Classrooms and Labs to allow multiple connections; Switches for auto failover for Ring network</t>
  </si>
  <si>
    <t>4th &amp; 5th floors networking and Ring topology</t>
  </si>
  <si>
    <t>For new labs and Outdoor</t>
  </si>
  <si>
    <t>New cabling, Speakers, Mics, Smart board, Digital Mixers</t>
  </si>
  <si>
    <t>From SNIST to SU and Hostels
Can transfer upto 450 MBPS and used as back-up/failover</t>
  </si>
  <si>
    <t>For research and Student projects
Quote from HP &amp; Dell... Shared subscription pricing with Dean to determine usage and cost</t>
  </si>
  <si>
    <t>For BBA Student - 120 M2 model with Apple care and bag</t>
  </si>
  <si>
    <t>To be verified</t>
  </si>
  <si>
    <r>
      <rPr>
        <b/>
        <sz val="14"/>
        <rFont val="Times New Roman"/>
        <family val="1"/>
      </rPr>
      <t xml:space="preserve">SREENIDHI UNIVERSITY, Hyderabad
</t>
    </r>
    <r>
      <rPr>
        <b/>
        <sz val="14"/>
        <color rgb="FFFF0000"/>
        <rFont val="Times New Roman"/>
        <family val="1"/>
      </rPr>
      <t xml:space="preserve">Office of the Vice - Chancellor
</t>
    </r>
    <r>
      <rPr>
        <b/>
        <sz val="12"/>
        <rFont val="Times New Roman"/>
        <family val="1"/>
      </rPr>
      <t xml:space="preserve">Details of the Proposed Budget for the Financial Year </t>
    </r>
    <r>
      <rPr>
        <b/>
        <sz val="12"/>
        <color rgb="FFFF0000"/>
        <rFont val="Times New Roman"/>
        <family val="1"/>
      </rPr>
      <t>2026-27</t>
    </r>
  </si>
  <si>
    <t>Specifications /
Description</t>
  </si>
  <si>
    <r>
      <rPr>
        <b/>
        <sz val="12"/>
        <color rgb="FFFF0000"/>
        <rFont val="Times New Roman"/>
        <family val="1"/>
      </rPr>
      <t>Unit Price (Rs.
in Lakhs)</t>
    </r>
  </si>
  <si>
    <t>6</t>
  </si>
  <si>
    <t xml:space="preserve">VC Office 
</t>
  </si>
  <si>
    <t>Laptop / Desktop / LCD Projector</t>
  </si>
  <si>
    <t>Furniture (15 Seater Conference Table / 15 Chairs)
01 Tea Table, etc.</t>
  </si>
  <si>
    <t>Smart / Interactive Board for VC Room in Front of Conference Table</t>
  </si>
  <si>
    <t>Office Furnishing, Curtains, Carpets, &amp; Institutional Plaques</t>
  </si>
  <si>
    <t>Papers, Pens, Scribbling Pad, Printing, and other stationery items</t>
  </si>
  <si>
    <t>Annual</t>
  </si>
  <si>
    <t xml:space="preserve">Local Travel  Arrangements, Hospitality, Academic and Institutional Events, </t>
  </si>
  <si>
    <t>Travelling to State Govt. Meetings, Attending functions at other colleges/ universities/ local seminars</t>
  </si>
  <si>
    <t>Domestic Travel — Air / Train Tickets,
Hotel, Per Diem (10 trips/year for 2 - 3 days)</t>
  </si>
  <si>
    <t>Per trip all-inclusive</t>
  </si>
  <si>
    <t>International Travel — Air Tickets (Business),
Hotel Abroad, Per Diem, Visa Fees,
Travel Insurance (~3 trips/year)</t>
  </si>
  <si>
    <t>Conference / Summit Registration Fees
(International &amp; National)</t>
  </si>
  <si>
    <t>Per conference</t>
  </si>
  <si>
    <t>PR, Publications, Media Coordination, Official Photography, Newspaper Subscriptions</t>
  </si>
  <si>
    <t>Contingency / Miscellaneous
(Unplanned travel, emergency expenses)</t>
  </si>
  <si>
    <t>Total Amount</t>
  </si>
  <si>
    <t>SAP</t>
  </si>
  <si>
    <t>Forwarded to President Sir</t>
  </si>
  <si>
    <r>
      <t xml:space="preserve">SREENIDHI UNIVERSITY, Hyderabad
</t>
    </r>
    <r>
      <rPr>
        <b/>
        <sz val="12"/>
        <color rgb="FFFF0000"/>
        <rFont val="Times New Roman"/>
        <family val="1"/>
      </rPr>
      <t xml:space="preserve">Physics Department
</t>
    </r>
    <r>
      <rPr>
        <b/>
        <sz val="12"/>
        <color rgb="FF000000"/>
        <rFont val="Times New Roman"/>
        <family val="1"/>
      </rPr>
      <t xml:space="preserve">Details of the Proposed Budget for the Financial Year </t>
    </r>
    <r>
      <rPr>
        <b/>
        <sz val="12"/>
        <color rgb="FFFF0000"/>
        <rFont val="Times New Roman"/>
        <family val="1"/>
      </rPr>
      <t>2026-27</t>
    </r>
  </si>
  <si>
    <t>English Dept.</t>
  </si>
  <si>
    <t>Date: 18.03.2026</t>
  </si>
  <si>
    <t>Headphones</t>
  </si>
  <si>
    <t>Lab Activity</t>
  </si>
  <si>
    <t>10  sheets</t>
  </si>
  <si>
    <t>Papers, Markers</t>
  </si>
  <si>
    <t>Prizes</t>
  </si>
  <si>
    <t>Competitions</t>
  </si>
  <si>
    <t>Conference/workshop</t>
  </si>
  <si>
    <t>Student participation</t>
  </si>
  <si>
    <t>certification courses</t>
  </si>
  <si>
    <t>incentive for certificate</t>
  </si>
  <si>
    <t>Conference/ Workshop</t>
  </si>
  <si>
    <t>Expenses</t>
  </si>
  <si>
    <t>Incntive</t>
  </si>
  <si>
    <t>Travel Expenses</t>
  </si>
  <si>
    <t>Conference</t>
  </si>
  <si>
    <t>Project grant</t>
  </si>
  <si>
    <t>Seed grant</t>
  </si>
  <si>
    <r>
      <rPr>
        <b/>
        <sz val="14"/>
        <color rgb="FF000000"/>
        <rFont val="Times New Roman"/>
        <family val="1"/>
      </rPr>
      <t xml:space="preserve">SREENIDHI UNIVERSITY, Hyderabad
</t>
    </r>
    <r>
      <rPr>
        <b/>
        <sz val="14"/>
        <color rgb="FFFF0000"/>
        <rFont val="Times New Roman"/>
        <family val="1"/>
      </rPr>
      <t xml:space="preserve">Skill Developement Centre
</t>
    </r>
    <r>
      <rPr>
        <b/>
        <sz val="12"/>
        <color rgb="FF000000"/>
        <rFont val="Times New Roman"/>
        <family val="1"/>
      </rPr>
      <t xml:space="preserve">Details of the Proposed Budget for the Financial Year </t>
    </r>
    <r>
      <rPr>
        <b/>
        <sz val="12"/>
        <color rgb="FFFF0000"/>
        <rFont val="Times New Roman"/>
        <family val="1"/>
      </rPr>
      <t>2026-27</t>
    </r>
  </si>
  <si>
    <r>
      <rPr>
        <b/>
        <sz val="12"/>
        <color rgb="FF000000"/>
        <rFont val="Times New Roman"/>
        <family val="1"/>
      </rPr>
      <t xml:space="preserve">Specifications /
</t>
    </r>
    <r>
      <rPr>
        <b/>
        <sz val="12"/>
        <color rgb="FF000000"/>
        <rFont val="Times New Roman"/>
        <family val="1"/>
      </rPr>
      <t>Description</t>
    </r>
  </si>
  <si>
    <r>
      <rPr>
        <b/>
        <sz val="12"/>
        <color theme="1"/>
        <rFont val="Times New Roman"/>
        <family val="1"/>
      </rPr>
      <t>Quantity</t>
    </r>
  </si>
  <si>
    <r>
      <rPr>
        <b/>
        <sz val="12"/>
        <color rgb="FF000000"/>
        <rFont val="Times New Roman"/>
        <family val="1"/>
      </rPr>
      <t xml:space="preserve">Unit Price (Rs.
</t>
    </r>
    <r>
      <rPr>
        <b/>
        <sz val="12"/>
        <color rgb="FF000000"/>
        <rFont val="Times New Roman"/>
        <family val="1"/>
      </rPr>
      <t>in Lakhs)</t>
    </r>
  </si>
  <si>
    <r>
      <rPr>
        <sz val="12"/>
        <color theme="1"/>
        <rFont val="Times New Roman"/>
        <family val="1"/>
      </rPr>
      <t>Non-Recurring</t>
    </r>
  </si>
  <si>
    <r>
      <rPr>
        <sz val="12"/>
        <color theme="1"/>
        <rFont val="Times New Roman"/>
        <family val="1"/>
      </rPr>
      <t>Recurring</t>
    </r>
  </si>
  <si>
    <r>
      <rPr>
        <b/>
        <sz val="12"/>
        <color theme="1"/>
        <rFont val="Times New Roman"/>
        <family val="1"/>
      </rPr>
      <t>Total</t>
    </r>
  </si>
  <si>
    <t>Computers</t>
  </si>
  <si>
    <t>CD’s/Digital Library</t>
  </si>
  <si>
    <t>Magazines</t>
  </si>
  <si>
    <t>Non-Teaching</t>
  </si>
  <si>
    <t>NSS/YRC/NCC 
Any other Club Activities</t>
  </si>
  <si>
    <t>Mathematics Dept.</t>
  </si>
  <si>
    <r>
      <rPr>
        <b/>
        <sz val="14"/>
        <rFont val="Times New Roman"/>
        <family val="1"/>
      </rPr>
      <t xml:space="preserve">SREENIDHI UNIVERSITY, Hyderabad
</t>
    </r>
    <r>
      <rPr>
        <b/>
        <sz val="14"/>
        <color theme="1"/>
        <rFont val="Times New Roman"/>
        <family val="1"/>
      </rPr>
      <t>Department of Mathematics</t>
    </r>
    <r>
      <rPr>
        <b/>
        <sz val="14"/>
        <color rgb="FFFF0000"/>
        <rFont val="Times New Roman"/>
        <family val="1"/>
      </rPr>
      <t xml:space="preserve">
</t>
    </r>
    <r>
      <rPr>
        <b/>
        <sz val="12"/>
        <rFont val="Times New Roman"/>
        <family val="1"/>
      </rPr>
      <t xml:space="preserve">Details of the Proposed Budget for the Financial Year </t>
    </r>
    <r>
      <rPr>
        <b/>
        <sz val="12"/>
        <color rgb="FFFF0000"/>
        <rFont val="Times New Roman"/>
        <family val="1"/>
      </rPr>
      <t>2026-27</t>
    </r>
  </si>
  <si>
    <t>Date: 12.03.2026</t>
  </si>
  <si>
    <t>Rs 50, 000</t>
  </si>
  <si>
    <t>Rs. 0.5 Lakh</t>
  </si>
  <si>
    <t>Paper, pens, duster, marker pens, files, clips</t>
  </si>
  <si>
    <t>For 10 to 15 faculty</t>
  </si>
  <si>
    <t>Rs. 0.8 Lakh</t>
  </si>
  <si>
    <t>Narional Mathematics Day</t>
  </si>
  <si>
    <t xml:space="preserve">Stationery plus             3 Prizes </t>
  </si>
  <si>
    <t xml:space="preserve">Rs. 0.2 Lakh </t>
  </si>
  <si>
    <t>5 Days FDP &amp; Conference</t>
  </si>
  <si>
    <t>5 Days FDP - 1      Conferences - 2</t>
  </si>
  <si>
    <t>5 Days FDP - Rs. 2.5 Lakhs      2 Conferences - 4 Lakhs</t>
  </si>
  <si>
    <t xml:space="preserve">Rs. 6.5 Lakhs </t>
  </si>
  <si>
    <t xml:space="preserve">Fees </t>
  </si>
  <si>
    <t>10 to 15 faculty</t>
  </si>
  <si>
    <t xml:space="preserve">Rs. 2 Lakhs </t>
  </si>
  <si>
    <t>Charges</t>
  </si>
  <si>
    <t xml:space="preserve">Rs.12 Lakhs </t>
  </si>
  <si>
    <t>Not Received</t>
  </si>
  <si>
    <t>Remark</t>
  </si>
  <si>
    <r>
      <rPr>
        <b/>
        <sz val="12"/>
        <rFont val="Times New Roman"/>
        <family val="1"/>
      </rPr>
      <t>S.N.</t>
    </r>
  </si>
  <si>
    <r>
      <rPr>
        <b/>
        <sz val="12"/>
        <rFont val="Times New Roman"/>
        <family val="1"/>
      </rPr>
      <t>Apr.-Jun.</t>
    </r>
  </si>
  <si>
    <r>
      <rPr>
        <b/>
        <sz val="12"/>
        <rFont val="Times New Roman"/>
        <family val="1"/>
      </rPr>
      <t>Jul.-Sept.</t>
    </r>
  </si>
  <si>
    <r>
      <rPr>
        <b/>
        <sz val="12"/>
        <rFont val="Times New Roman"/>
        <family val="1"/>
      </rPr>
      <t>Oct.-Dec.</t>
    </r>
  </si>
  <si>
    <r>
      <rPr>
        <b/>
        <sz val="12"/>
        <rFont val="Times New Roman"/>
        <family val="1"/>
      </rPr>
      <t>Jan.-Mar.</t>
    </r>
  </si>
  <si>
    <r>
      <rPr>
        <sz val="12"/>
        <rFont val="Times New Roman"/>
        <family val="1"/>
      </rPr>
      <t xml:space="preserve">FDP/STTP/
</t>
    </r>
    <r>
      <rPr>
        <sz val="12"/>
        <rFont val="Times New Roman"/>
        <family val="1"/>
      </rPr>
      <t>Workshop / Seminar / Conferences, etc.,</t>
    </r>
  </si>
  <si>
    <r>
      <rPr>
        <sz val="12"/>
        <rFont val="Times New Roman"/>
        <family val="1"/>
      </rPr>
      <t>CD’s/Digital Library</t>
    </r>
  </si>
  <si>
    <t>VC Office / Pro-Chancellore Office / Registrar Office / Administrative / Deans / Directors / Dept. Office</t>
  </si>
  <si>
    <t>NSS/YRC/NCC –
Any other Club Activities</t>
  </si>
  <si>
    <t>Common Functions</t>
  </si>
  <si>
    <t>Common Expenses</t>
  </si>
  <si>
    <t>Common Academic Expenses</t>
  </si>
  <si>
    <t>Expenses/Maintenance – Electricity, Water, Telephone, etc</t>
  </si>
  <si>
    <t>Acquisition of Land; &amp; New Buildings &amp; Infrastructural Built – up etc.,</t>
  </si>
  <si>
    <t xml:space="preserve">Recurring </t>
  </si>
  <si>
    <t xml:space="preserve">(Towards visiting Indian as well as Multinal Companies located in Bangalore/Pune/Delhi/Mumbai as well as located in within Hyd for Industrial collaborations and providing hosptatility to visiting Delagtes from Foreign Universities. </t>
  </si>
  <si>
    <t>Date:07.04.2026</t>
  </si>
  <si>
    <r>
      <rPr>
        <b/>
        <sz val="14"/>
        <rFont val="Times New Roman"/>
        <family val="1"/>
      </rPr>
      <t xml:space="preserve">SREENIDHI UNIVERSITY, Hyderabad
</t>
    </r>
    <r>
      <rPr>
        <b/>
        <sz val="14"/>
        <color rgb="FFFF0000"/>
        <rFont val="Times New Roman"/>
        <family val="1"/>
      </rPr>
      <t>All Departments</t>
    </r>
    <r>
      <rPr>
        <b/>
        <sz val="14"/>
        <color rgb="FF000000"/>
        <rFont val="Times New Roman"/>
        <family val="1"/>
      </rPr>
      <t xml:space="preserve">
Proposed Budget for the Financial Year </t>
    </r>
    <r>
      <rPr>
        <b/>
        <sz val="14"/>
        <color rgb="FFFF0000"/>
        <rFont val="Times New Roman"/>
        <family val="1"/>
      </rPr>
      <t>2026-27</t>
    </r>
  </si>
  <si>
    <t>Date: 07.04.2026</t>
  </si>
  <si>
    <t>CSE</t>
  </si>
  <si>
    <t>Chem</t>
  </si>
  <si>
    <t>Maths</t>
  </si>
  <si>
    <t>Eng</t>
  </si>
  <si>
    <t>Phy</t>
  </si>
  <si>
    <t xml:space="preserve"> Pro-Chancellore Office /  Administrative </t>
  </si>
  <si>
    <t>Registrar Office</t>
  </si>
  <si>
    <t xml:space="preserve"> Deans Office</t>
  </si>
  <si>
    <t>Student Affairs</t>
  </si>
  <si>
    <t>Procurement Dept.</t>
  </si>
  <si>
    <t>Budget Co-Coordinator                                                  Head of the Dept.                                                                           Dean (SoE)                                                                       Registrar                                                                                     Vice-Chancellor                                                                          President</t>
  </si>
  <si>
    <t>Budget Co-Coordinator                    Head of the Dept.                                Dean (SoE)                             Registrar                                 Vice-Chancellor                        President</t>
  </si>
  <si>
    <r>
      <rPr>
        <b/>
        <sz val="14"/>
        <rFont val="Times New Roman"/>
        <family val="1"/>
      </rPr>
      <t xml:space="preserve">SREENIDHI UNIVERSITY, Hyderabad
</t>
    </r>
    <r>
      <rPr>
        <b/>
        <sz val="14"/>
        <color rgb="FFFF0000"/>
        <rFont val="Times New Roman"/>
        <family val="1"/>
      </rPr>
      <t xml:space="preserve"> Department-English
</t>
    </r>
    <r>
      <rPr>
        <b/>
        <sz val="12"/>
        <rFont val="Times New Roman"/>
        <family val="1"/>
      </rPr>
      <t xml:space="preserve">Details of the Proposed Budget for the Financial Year </t>
    </r>
    <r>
      <rPr>
        <b/>
        <sz val="12"/>
        <color rgb="FFFF0000"/>
        <rFont val="Times New Roman"/>
        <family val="1"/>
      </rPr>
      <t>2026-27</t>
    </r>
  </si>
  <si>
    <r>
      <rPr>
        <b/>
        <sz val="14"/>
        <rFont val="Times New Roman"/>
        <family val="1"/>
      </rPr>
      <t xml:space="preserve">SREENIDHI UNIVERSITY, Hyderabad
</t>
    </r>
    <r>
      <rPr>
        <b/>
        <sz val="14"/>
        <color rgb="FFFF0000"/>
        <rFont val="Times New Roman"/>
        <family val="1"/>
      </rPr>
      <t xml:space="preserve"> Department- Registrar's Office
</t>
    </r>
    <r>
      <rPr>
        <b/>
        <sz val="12"/>
        <rFont val="Times New Roman"/>
        <family val="1"/>
      </rPr>
      <t xml:space="preserve">Details of the Proposed Budget for the Financial Year </t>
    </r>
    <r>
      <rPr>
        <b/>
        <sz val="12"/>
        <color rgb="FFFF0000"/>
        <rFont val="Times New Roman"/>
        <family val="1"/>
      </rPr>
      <t>2026-27</t>
    </r>
  </si>
  <si>
    <t xml:space="preserve">      Physical Education                                                                                                        Date: 20.03.2026</t>
  </si>
  <si>
    <r>
      <rPr>
        <b/>
        <sz val="14"/>
        <rFont val="Times New Roman"/>
        <family val="1"/>
      </rPr>
      <t xml:space="preserve">SREENIDHI UNIVERSITY, Hyderabad
</t>
    </r>
    <r>
      <rPr>
        <b/>
        <sz val="14"/>
        <color rgb="FFFF0000"/>
        <rFont val="Times New Roman"/>
        <family val="1"/>
      </rPr>
      <t>Department of Chemistry</t>
    </r>
    <r>
      <rPr>
        <b/>
        <sz val="14"/>
        <rFont val="Times New Roman"/>
        <family val="1"/>
      </rPr>
      <t xml:space="preserve">
</t>
    </r>
    <r>
      <rPr>
        <b/>
        <sz val="12"/>
        <rFont val="Times New Roman"/>
        <family val="1"/>
      </rPr>
      <t>Details of the Proposed Budget for the Financial Year 2026-27</t>
    </r>
  </si>
  <si>
    <t>Research &amp; Development                                                                                                 Date: 20.03.2026</t>
  </si>
  <si>
    <t>Student Affairs                                                                     Date: xx.xx.xxxx</t>
  </si>
  <si>
    <t>ICT</t>
  </si>
  <si>
    <t xml:space="preserve">                                                                            Date: 20.03.2026</t>
  </si>
  <si>
    <r>
      <rPr>
        <b/>
        <sz val="14"/>
        <rFont val="Times New Roman"/>
        <family val="1"/>
      </rPr>
      <t xml:space="preserve">SREENIDHI UNIVERSITY, Hyderabad
</t>
    </r>
    <r>
      <rPr>
        <b/>
        <sz val="14"/>
        <color rgb="FFFF0000"/>
        <rFont val="Times New Roman"/>
        <family val="1"/>
      </rPr>
      <t>Name of the Department- IIR</t>
    </r>
    <r>
      <rPr>
        <b/>
        <sz val="14"/>
        <color rgb="FF000000"/>
        <rFont val="Times New Roman"/>
        <family val="1"/>
      </rPr>
      <t xml:space="preserve">
Proposed Budget for the Financial Year </t>
    </r>
    <r>
      <rPr>
        <b/>
        <sz val="14"/>
        <color rgb="FFFF0000"/>
        <rFont val="Times New Roman"/>
        <family val="1"/>
      </rPr>
      <t>2026-27</t>
    </r>
  </si>
  <si>
    <r>
      <rPr>
        <b/>
        <sz val="24"/>
        <rFont val="Times New Roman"/>
        <family val="1"/>
      </rPr>
      <t>SREENIDHI UNIVERSITY, HYDERABAD</t>
    </r>
    <r>
      <rPr>
        <b/>
        <sz val="14"/>
        <color rgb="FF000000"/>
        <rFont val="Times New Roman"/>
        <family val="1"/>
      </rPr>
      <t xml:space="preserve">
All Departments
Proposed Budget for the Financial Year </t>
    </r>
    <r>
      <rPr>
        <b/>
        <sz val="14"/>
        <color rgb="FFFF0000"/>
        <rFont val="Times New Roman"/>
        <family val="1"/>
      </rPr>
      <t>2026-27</t>
    </r>
  </si>
  <si>
    <t>HoD Office (CSE &amp; Allied Dept.)</t>
  </si>
  <si>
    <r>
      <rPr>
        <b/>
        <sz val="14"/>
        <rFont val="Times New Roman"/>
        <family val="1"/>
      </rPr>
      <t xml:space="preserve">SREENIDHI UNIVERSITY, Hyderabad
</t>
    </r>
    <r>
      <rPr>
        <b/>
        <sz val="14"/>
        <color rgb="FFFF0000"/>
        <rFont val="Times New Roman"/>
        <family val="1"/>
      </rPr>
      <t xml:space="preserve">Departments of CSE &amp; Allied Branches
</t>
    </r>
    <r>
      <rPr>
        <b/>
        <sz val="12"/>
        <rFont val="Times New Roman"/>
        <family val="1"/>
      </rPr>
      <t xml:space="preserve">Details of the Proposed Budget for the Financial Year </t>
    </r>
    <r>
      <rPr>
        <b/>
        <sz val="12"/>
        <color rgb="FFFF0000"/>
        <rFont val="Times New Roman"/>
        <family val="1"/>
      </rPr>
      <t>2026-27</t>
    </r>
  </si>
  <si>
    <t>Electrical fittings</t>
  </si>
  <si>
    <t>Mouses and keyboards need to replace</t>
  </si>
  <si>
    <t>Maintenance</t>
  </si>
  <si>
    <t>1 conference and 1 workshop need to be conducted</t>
  </si>
  <si>
    <t>Allow faculty members to attend conferences, workshops and FDPs</t>
  </si>
  <si>
    <t>UGC / AICTE / TGSHEC / TG Govt. / Any other Regulatory bodies (BOS Meetings for 4 depts)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</si>
</sst>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quot;₹&quot;\ #,##0"/>
    <numFmt numFmtId="166" formatCode="&quot;₹&quot;\ #,##0.00"/>
  </numFmts>
  <fonts count="82">
    <font>
      <sz val="11"/>
      <color theme="1"/>
      <name val="Calibri"/>
      <family val="2"/>
      <scheme val="minor"/>
    </font>
    <font>
      <b/>
      <sz val="14"/>
      <color rgb="FF000000"/>
      <name val="Times New Roman"/>
      <family val="1"/>
    </font>
    <font>
      <b/>
      <sz val="14"/>
      <name val="Times New Roman"/>
      <family val="1"/>
    </font>
    <font>
      <b/>
      <sz val="14"/>
      <color rgb="FFFF0000"/>
      <name val="Times New Roman"/>
      <family val="1"/>
    </font>
    <font>
      <sz val="14"/>
      <name val="Times New Roman"/>
      <family val="1"/>
    </font>
    <font>
      <sz val="14"/>
      <color rgb="FFFF0000"/>
      <name val="Times New Roman"/>
      <family val="1"/>
    </font>
    <font>
      <b/>
      <sz val="12"/>
      <name val="Times New Roman"/>
      <family val="1"/>
    </font>
    <font>
      <b/>
      <sz val="12"/>
      <color rgb="FFFF0000"/>
      <name val="Times New Roman"/>
      <family val="1"/>
    </font>
    <font>
      <b/>
      <sz val="12"/>
      <color rgb="FF000000"/>
      <name val="Times New Roman"/>
      <family val="1"/>
    </font>
    <font>
      <sz val="12"/>
      <color rgb="FF000000"/>
      <name val="Times New Roman"/>
      <family val="2"/>
    </font>
    <font>
      <sz val="12"/>
      <name val="Times New Roman"/>
      <family val="1"/>
    </font>
    <font>
      <sz val="12"/>
      <color rgb="FF000000"/>
      <name val="Times New Roman"/>
      <family val="1"/>
    </font>
    <font>
      <b/>
      <sz val="10"/>
      <color rgb="FF000000"/>
      <name val="Times New Roman"/>
      <family val="1"/>
    </font>
    <font>
      <b/>
      <sz val="24"/>
      <name val="Times New Roman"/>
      <family val="1"/>
    </font>
    <font>
      <sz val="10"/>
      <color rgb="FF000000"/>
      <name val="Swis721 BT"/>
      <family val="2"/>
    </font>
    <font>
      <sz val="10"/>
      <color theme="1"/>
      <name val="Calibri"/>
      <family val="2"/>
    </font>
    <font>
      <sz val="12"/>
      <color theme="1"/>
      <name val="Times New Roman"/>
      <family val="1"/>
    </font>
    <font>
      <sz val="10"/>
      <color rgb="FF000000"/>
      <name val="Times New Roman"/>
      <family val="1"/>
    </font>
    <font>
      <sz val="12"/>
      <color theme="1"/>
      <name val="Calibri"/>
      <family val="2"/>
      <scheme val="minor"/>
    </font>
    <font>
      <sz val="11"/>
      <color theme="1"/>
      <name val="Calibri"/>
      <family val="2"/>
      <scheme val="minor"/>
    </font>
    <font>
      <sz val="11"/>
      <color theme="1"/>
      <name val="Calibri"/>
      <family val="2"/>
    </font>
    <font>
      <sz val="11"/>
      <color theme="1"/>
      <name val="Times New Roman"/>
      <family val="1"/>
    </font>
    <font>
      <b/>
      <sz val="15"/>
      <name val="Times New Roman"/>
      <family val="1"/>
    </font>
    <font>
      <b/>
      <sz val="11"/>
      <color theme="1"/>
      <name val="Times New Roman"/>
      <family val="1"/>
    </font>
    <font>
      <sz val="15"/>
      <name val="Times New Roman"/>
      <family val="1"/>
    </font>
    <font>
      <sz val="10"/>
      <name val="Arial"/>
      <family val="2"/>
    </font>
    <font>
      <sz val="11"/>
      <color rgb="FF000000"/>
      <name val="Times New Roman"/>
      <family val="1"/>
    </font>
    <font>
      <b/>
      <sz val="11"/>
      <name val="Times New Roman"/>
      <family val="1"/>
    </font>
    <font>
      <sz val="10"/>
      <name val="Times New Roman"/>
      <family val="1"/>
    </font>
    <font>
      <sz val="12"/>
      <color rgb="FFFF0000"/>
      <name val="Times New Roman"/>
      <family val="1"/>
    </font>
    <font>
      <b/>
      <sz val="12"/>
      <color theme="1"/>
      <name val="Times New Roman"/>
      <family val="1"/>
    </font>
    <font>
      <sz val="11"/>
      <name val="Aptos Narrow"/>
      <family val="2"/>
    </font>
    <font>
      <sz val="11"/>
      <name val="Arial"/>
      <family val="2"/>
    </font>
    <font>
      <sz val="11"/>
      <color theme="1"/>
      <name val="Arial"/>
      <family val="2"/>
    </font>
    <font>
      <sz val="10"/>
      <color theme="1"/>
      <name val="Calibri"/>
      <family val="1"/>
      <scheme val="minor"/>
    </font>
    <font>
      <b/>
      <sz val="10"/>
      <name val="Times New Roman"/>
      <family val="1"/>
    </font>
    <font>
      <b/>
      <sz val="10"/>
      <color rgb="FF000000"/>
      <name val="Times New Roman"/>
      <family val="1"/>
    </font>
    <font>
      <b/>
      <sz val="12"/>
      <name val="Times New Roman"/>
      <family val="1"/>
    </font>
    <font>
      <sz val="14"/>
      <color rgb="FFFF0000"/>
      <name val="Times New Roman"/>
      <family val="1"/>
    </font>
    <font>
      <sz val="14"/>
      <name val="Times New Roman"/>
      <family val="1"/>
    </font>
    <font>
      <b/>
      <sz val="12"/>
      <color rgb="FF000000"/>
      <name val="Times New Roman"/>
      <family val="1"/>
    </font>
    <font>
      <sz val="12"/>
      <color rgb="FF000000"/>
      <name val="Times New Roman"/>
      <family val="1"/>
    </font>
    <font>
      <sz val="12"/>
      <name val="Times New Roman"/>
      <family val="1"/>
    </font>
    <font>
      <sz val="10"/>
      <color rgb="FFFF0000"/>
      <name val="Times New Roman"/>
      <family val="1"/>
    </font>
    <font>
      <sz val="10"/>
      <color rgb="FF000000"/>
      <name val="Times New Roman"/>
      <family val="1"/>
    </font>
    <font>
      <sz val="10"/>
      <name val="Times New Roman"/>
      <family val="1"/>
    </font>
    <font>
      <b/>
      <sz val="13"/>
      <color rgb="FF000000"/>
      <name val="Calibri"/>
      <family val="2"/>
    </font>
    <font>
      <b/>
      <sz val="13"/>
      <color rgb="FF000000"/>
      <name val="Times New Roman"/>
      <family val="1"/>
    </font>
    <font>
      <sz val="13"/>
      <color rgb="FF000000"/>
      <name val="Times New Roman"/>
      <family val="1"/>
    </font>
    <font>
      <b/>
      <sz val="9"/>
      <color rgb="FF000000"/>
      <name val="Times New Roman"/>
      <family val="1"/>
    </font>
    <font>
      <b/>
      <vertAlign val="superscript"/>
      <sz val="12"/>
      <color rgb="FF000000"/>
      <name val="Times New Roman"/>
      <family val="1"/>
    </font>
    <font>
      <sz val="11"/>
      <color rgb="FF000000"/>
      <name val="Calibri"/>
      <family val="2"/>
    </font>
    <font>
      <b/>
      <sz val="16"/>
      <color rgb="FF000000"/>
      <name val="Times New Roman"/>
      <family val="1"/>
    </font>
    <font>
      <b/>
      <sz val="12"/>
      <color rgb="FF000000"/>
      <name val="Calibri"/>
      <family val="2"/>
    </font>
    <font>
      <u/>
      <sz val="10"/>
      <color theme="1"/>
      <name val="Calibri"/>
      <family val="2"/>
    </font>
    <font>
      <b/>
      <sz val="10"/>
      <color theme="1"/>
      <name val="Calibri"/>
      <family val="2"/>
    </font>
    <font>
      <u/>
      <sz val="11"/>
      <color rgb="FF000000"/>
      <name val="Calibri"/>
      <family val="2"/>
    </font>
    <font>
      <sz val="10"/>
      <color rgb="FF000000"/>
      <name val="Calibri"/>
      <family val="2"/>
    </font>
    <font>
      <sz val="11"/>
      <name val="Calibri"/>
      <family val="2"/>
    </font>
    <font>
      <sz val="10"/>
      <color rgb="FFFF0000"/>
      <name val="Calibri"/>
      <family val="2"/>
    </font>
    <font>
      <u/>
      <sz val="10"/>
      <color rgb="FFFF0000"/>
      <name val="Calibri"/>
      <family val="2"/>
    </font>
    <font>
      <u/>
      <sz val="10"/>
      <color rgb="FF000000"/>
      <name val="Calibri"/>
      <family val="2"/>
    </font>
    <font>
      <sz val="10"/>
      <color rgb="FFFF0000"/>
      <name val="Times New Roman"/>
      <family val="1"/>
    </font>
    <font>
      <sz val="12"/>
      <color rgb="FF000080"/>
      <name val="Times New Roman"/>
      <family val="1"/>
    </font>
    <font>
      <sz val="12"/>
      <color rgb="FF555555"/>
      <name val="Times New Roman"/>
      <family val="1"/>
    </font>
    <font>
      <b/>
      <sz val="10"/>
      <color rgb="FFFF0000"/>
      <name val="Times New Roman"/>
      <family val="1"/>
    </font>
    <font>
      <b/>
      <sz val="20"/>
      <color rgb="FF000000"/>
      <name val="Times New Roman"/>
      <family val="1"/>
    </font>
    <font>
      <sz val="10"/>
      <color rgb="FF000000"/>
      <name val="Calibri"/>
      <family val="2"/>
      <scheme val="minor"/>
    </font>
    <font>
      <sz val="10"/>
      <name val="Times New Roman"/>
      <family val="1"/>
    </font>
    <font>
      <sz val="14"/>
      <color rgb="FFFF0000"/>
      <name val="Times New Roman"/>
      <family val="1"/>
    </font>
    <font>
      <b/>
      <sz val="12"/>
      <color theme="1"/>
      <name val="Times New Roman"/>
      <family val="1"/>
    </font>
    <font>
      <b/>
      <sz val="12"/>
      <color rgb="FF000000"/>
      <name val="Times New Roman"/>
      <family val="1"/>
    </font>
    <font>
      <sz val="12"/>
      <color rgb="FF000000"/>
      <name val="Times New Roman"/>
      <family val="1"/>
    </font>
    <font>
      <sz val="10"/>
      <color rgb="FF000000"/>
      <name val="Times New Roman"/>
      <family val="1"/>
    </font>
    <font>
      <sz val="12"/>
      <color theme="1"/>
      <name val="Times New Roman"/>
      <family val="1"/>
    </font>
    <font>
      <b/>
      <sz val="10"/>
      <color rgb="FF000000"/>
      <name val="Times New Roman"/>
      <family val="1"/>
    </font>
    <font>
      <sz val="10"/>
      <color theme="1"/>
      <name val="Times New Roman"/>
      <family val="1"/>
    </font>
    <font>
      <sz val="10"/>
      <color theme="1"/>
      <name val="Times New Roman"/>
      <family val="1"/>
    </font>
    <font>
      <b/>
      <sz val="10"/>
      <color theme="1"/>
      <name val="Times New Roman"/>
      <family val="1"/>
    </font>
    <font>
      <b/>
      <sz val="14"/>
      <color theme="1"/>
      <name val="Times New Roman"/>
      <family val="1"/>
    </font>
    <font>
      <b/>
      <sz val="14"/>
      <color theme="1"/>
      <name val="Calibri"/>
      <family val="2"/>
    </font>
    <font>
      <sz val="14"/>
      <name val="Calibri"/>
      <family val="2"/>
    </font>
  </fonts>
  <fills count="11">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B8CCE4"/>
        <bgColor rgb="FFB8CCE4"/>
      </patternFill>
    </fill>
    <fill>
      <patternFill patternType="solid">
        <fgColor rgb="FFDBE5F1"/>
        <bgColor rgb="FFDBE5F1"/>
      </patternFill>
    </fill>
    <fill>
      <patternFill patternType="solid">
        <fgColor rgb="FF8DB3E2"/>
        <bgColor rgb="FF8DB3E2"/>
      </patternFill>
    </fill>
    <fill>
      <patternFill patternType="solid">
        <fgColor rgb="FFC6D9F0"/>
        <bgColor rgb="FFC6D9F0"/>
      </patternFill>
    </fill>
    <fill>
      <patternFill patternType="solid">
        <fgColor rgb="FFFFFF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rgb="FF000000"/>
      </top>
      <bottom/>
      <diagonal/>
    </border>
    <border>
      <left style="thin">
        <color rgb="FF000000"/>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top style="thin">
        <color rgb="FF000000"/>
      </top>
      <bottom style="thin">
        <color indexed="64"/>
      </bottom>
      <diagonal/>
    </border>
    <border>
      <left/>
      <right/>
      <top style="thin">
        <color indexed="64"/>
      </top>
      <bottom/>
      <diagonal/>
    </border>
    <border>
      <left style="thin">
        <color rgb="FF000000"/>
      </left>
      <right style="thin">
        <color rgb="FF000000"/>
      </right>
      <top style="thin">
        <color indexed="64"/>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indexed="64"/>
      </right>
      <top style="thin">
        <color rgb="FF000000"/>
      </top>
      <bottom/>
      <diagonal/>
    </border>
  </borders>
  <cellStyleXfs count="4">
    <xf numFmtId="0" fontId="0" fillId="0" borderId="0"/>
    <xf numFmtId="43" fontId="19" fillId="0" borderId="0" applyFont="0" applyFill="0" applyBorder="0" applyAlignment="0" applyProtection="0"/>
    <xf numFmtId="0" fontId="25" fillId="0" borderId="0"/>
    <xf numFmtId="0" fontId="67" fillId="0" borderId="0"/>
  </cellStyleXfs>
  <cellXfs count="976">
    <xf numFmtId="0" fontId="0" fillId="0" borderId="0" xfId="0"/>
    <xf numFmtId="0" fontId="0" fillId="0" borderId="0" xfId="0" applyAlignment="1">
      <alignment horizontal="left" vertical="top"/>
    </xf>
    <xf numFmtId="0" fontId="6" fillId="0" borderId="1" xfId="0" applyFont="1" applyBorder="1" applyAlignment="1">
      <alignment horizontal="center" vertical="center" wrapText="1"/>
    </xf>
    <xf numFmtId="0" fontId="10" fillId="0" borderId="3" xfId="0" applyFont="1" applyBorder="1" applyAlignment="1">
      <alignment horizontal="left" vertical="center" wrapText="1"/>
    </xf>
    <xf numFmtId="0" fontId="0" fillId="0" borderId="0" xfId="0" applyAlignment="1">
      <alignment horizontal="left" vertical="center"/>
    </xf>
    <xf numFmtId="0" fontId="10" fillId="0" borderId="4" xfId="0" applyFont="1" applyBorder="1" applyAlignment="1">
      <alignment horizontal="left" vertical="center" wrapText="1"/>
    </xf>
    <xf numFmtId="0" fontId="0" fillId="0" borderId="4" xfId="0" applyBorder="1" applyAlignment="1">
      <alignment horizontal="left" vertical="center" wrapText="1"/>
    </xf>
    <xf numFmtId="0" fontId="10" fillId="0" borderId="5" xfId="0" applyFont="1" applyBorder="1" applyAlignment="1">
      <alignment horizontal="left" vertical="center" wrapText="1"/>
    </xf>
    <xf numFmtId="0" fontId="0" fillId="0" borderId="5" xfId="0" applyBorder="1" applyAlignment="1">
      <alignment horizontal="left" vertical="center" wrapText="1"/>
    </xf>
    <xf numFmtId="0" fontId="10" fillId="0" borderId="6" xfId="0" applyFont="1" applyBorder="1" applyAlignment="1">
      <alignment horizontal="left" vertical="center" wrapText="1"/>
    </xf>
    <xf numFmtId="0" fontId="10" fillId="0" borderId="1" xfId="0" applyFont="1" applyBorder="1" applyAlignment="1">
      <alignment horizontal="left" vertical="center" wrapText="1"/>
    </xf>
    <xf numFmtId="0" fontId="10"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horizontal="left" vertical="top"/>
    </xf>
    <xf numFmtId="0" fontId="0" fillId="0" borderId="0" xfId="0" applyAlignment="1">
      <alignment horizontal="left"/>
    </xf>
    <xf numFmtId="0" fontId="6" fillId="0" borderId="3" xfId="0" applyFont="1" applyBorder="1" applyAlignment="1">
      <alignment horizontal="center" vertical="center" wrapText="1"/>
    </xf>
    <xf numFmtId="0" fontId="6" fillId="0" borderId="16" xfId="0" applyFont="1" applyBorder="1" applyAlignment="1">
      <alignment horizontal="center" vertical="center" wrapText="1"/>
    </xf>
    <xf numFmtId="0" fontId="0" fillId="0" borderId="3" xfId="0" applyBorder="1" applyAlignment="1">
      <alignment horizontal="center" vertical="center" wrapText="1"/>
    </xf>
    <xf numFmtId="0" fontId="8" fillId="0" borderId="1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left" vertical="center"/>
    </xf>
    <xf numFmtId="0" fontId="0" fillId="0" borderId="1" xfId="0" applyBorder="1" applyAlignment="1">
      <alignment horizontal="left" vertical="top"/>
    </xf>
    <xf numFmtId="0" fontId="0" fillId="0" borderId="13" xfId="0" applyBorder="1" applyAlignment="1">
      <alignment horizontal="left" vertical="top"/>
    </xf>
    <xf numFmtId="0" fontId="11" fillId="0" borderId="0" xfId="0" applyFont="1" applyAlignment="1">
      <alignment horizontal="left" vertical="top"/>
    </xf>
    <xf numFmtId="0" fontId="10" fillId="2" borderId="1" xfId="0" applyFont="1" applyFill="1" applyBorder="1" applyAlignment="1">
      <alignment horizontal="left" vertical="top"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3" fontId="11" fillId="0" borderId="1" xfId="0" applyNumberFormat="1" applyFont="1" applyBorder="1" applyAlignment="1">
      <alignment horizontal="center" vertical="top"/>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1"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top"/>
    </xf>
    <xf numFmtId="0" fontId="16" fillId="0" borderId="0" xfId="0" applyFont="1" applyAlignment="1">
      <alignment horizontal="center" vertical="top"/>
    </xf>
    <xf numFmtId="3" fontId="16" fillId="0" borderId="1" xfId="0" applyNumberFormat="1" applyFont="1" applyBorder="1" applyAlignment="1">
      <alignment horizontal="center" wrapText="1"/>
    </xf>
    <xf numFmtId="0" fontId="10" fillId="0" borderId="1" xfId="0" applyFont="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left" vertical="center" wrapText="1"/>
    </xf>
    <xf numFmtId="0" fontId="0" fillId="0" borderId="8" xfId="0" applyBorder="1" applyAlignment="1">
      <alignment horizontal="center" vertical="center" wrapText="1"/>
    </xf>
    <xf numFmtId="0" fontId="17" fillId="0" borderId="1" xfId="0" applyFont="1" applyBorder="1" applyAlignment="1">
      <alignment horizontal="center" vertical="center"/>
    </xf>
    <xf numFmtId="0" fontId="16" fillId="0" borderId="1" xfId="0" applyFont="1" applyBorder="1" applyAlignment="1">
      <alignment vertical="center" wrapText="1"/>
    </xf>
    <xf numFmtId="0" fontId="21"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6"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3" fontId="21" fillId="0" borderId="1" xfId="0" applyNumberFormat="1" applyFont="1" applyBorder="1" applyAlignment="1">
      <alignment horizontal="center" vertical="center" wrapText="1"/>
    </xf>
    <xf numFmtId="0" fontId="21" fillId="0" borderId="1" xfId="0" applyFont="1" applyBorder="1" applyAlignment="1">
      <alignment horizontal="left" vertical="center"/>
    </xf>
    <xf numFmtId="0" fontId="21" fillId="0" borderId="1" xfId="0" applyFont="1" applyBorder="1" applyAlignment="1">
      <alignment horizontal="left" vertical="top" wrapText="1"/>
    </xf>
    <xf numFmtId="0" fontId="21" fillId="0" borderId="1" xfId="0" applyFont="1" applyBorder="1" applyAlignment="1">
      <alignment horizontal="center" vertical="top" wrapText="1"/>
    </xf>
    <xf numFmtId="0" fontId="21" fillId="0" borderId="1" xfId="0" applyFont="1" applyBorder="1" applyAlignment="1">
      <alignment horizontal="left" vertical="top"/>
    </xf>
    <xf numFmtId="3" fontId="23" fillId="0" borderId="13" xfId="0" applyNumberFormat="1" applyFont="1" applyBorder="1" applyAlignment="1">
      <alignment horizontal="center" vertical="center"/>
    </xf>
    <xf numFmtId="0" fontId="0" fillId="2" borderId="0" xfId="0" applyFill="1" applyAlignment="1">
      <alignment horizontal="left" vertical="top"/>
    </xf>
    <xf numFmtId="0" fontId="6" fillId="2" borderId="2"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0" fillId="2" borderId="2" xfId="0" applyFill="1" applyBorder="1" applyAlignment="1">
      <alignment horizontal="center" vertical="center" wrapText="1"/>
    </xf>
    <xf numFmtId="0" fontId="8" fillId="2" borderId="11" xfId="0" applyFont="1" applyFill="1" applyBorder="1" applyAlignment="1">
      <alignment horizontal="center" vertical="center"/>
    </xf>
    <xf numFmtId="0" fontId="0" fillId="2" borderId="0" xfId="0" applyFill="1" applyAlignment="1">
      <alignment horizontal="center" vertical="center"/>
    </xf>
    <xf numFmtId="0" fontId="11" fillId="2" borderId="1" xfId="0" applyFont="1" applyFill="1" applyBorder="1" applyAlignment="1">
      <alignment horizontal="left" vertical="center" wrapText="1"/>
    </xf>
    <xf numFmtId="1" fontId="10" fillId="2" borderId="1" xfId="0" applyNumberFormat="1" applyFont="1" applyFill="1" applyBorder="1" applyAlignment="1">
      <alignment horizontal="left"/>
    </xf>
    <xf numFmtId="0" fontId="11" fillId="2" borderId="1" xfId="0" applyFont="1" applyFill="1" applyBorder="1" applyAlignment="1">
      <alignment horizontal="left" vertical="center"/>
    </xf>
    <xf numFmtId="0" fontId="11" fillId="2" borderId="0" xfId="0" applyFont="1" applyFill="1" applyAlignment="1">
      <alignment horizontal="left" vertical="center"/>
    </xf>
    <xf numFmtId="0" fontId="16" fillId="2" borderId="1" xfId="0" applyFont="1" applyFill="1" applyBorder="1" applyAlignment="1">
      <alignment horizontal="left"/>
    </xf>
    <xf numFmtId="1" fontId="16" fillId="2" borderId="1" xfId="0" applyNumberFormat="1" applyFont="1" applyFill="1" applyBorder="1" applyAlignment="1">
      <alignment horizontal="left"/>
    </xf>
    <xf numFmtId="0" fontId="10" fillId="2" borderId="1" xfId="0" applyFont="1" applyFill="1" applyBorder="1" applyAlignment="1">
      <alignment horizontal="left"/>
    </xf>
    <xf numFmtId="0" fontId="11" fillId="2" borderId="1" xfId="0" applyFont="1" applyFill="1" applyBorder="1" applyAlignment="1">
      <alignment horizontal="center" vertical="top"/>
    </xf>
    <xf numFmtId="2" fontId="16" fillId="2" borderId="1" xfId="0" applyNumberFormat="1" applyFont="1" applyFill="1" applyBorder="1" applyAlignment="1">
      <alignment horizontal="left"/>
    </xf>
    <xf numFmtId="0" fontId="11" fillId="2" borderId="1" xfId="0" applyFont="1" applyFill="1" applyBorder="1" applyAlignment="1">
      <alignment horizontal="center" vertical="center"/>
    </xf>
    <xf numFmtId="0" fontId="11" fillId="2" borderId="1" xfId="0" applyFont="1" applyFill="1" applyBorder="1" applyAlignment="1">
      <alignment horizontal="left"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left" wrapText="1"/>
    </xf>
    <xf numFmtId="0" fontId="11" fillId="2" borderId="1" xfId="0" applyFont="1" applyFill="1" applyBorder="1" applyAlignment="1">
      <alignment horizontal="left" vertical="top"/>
    </xf>
    <xf numFmtId="0" fontId="11" fillId="2" borderId="0" xfId="0" applyFont="1" applyFill="1" applyAlignment="1">
      <alignment horizontal="left" vertical="top"/>
    </xf>
    <xf numFmtId="0" fontId="6" fillId="2" borderId="1" xfId="0" applyFont="1" applyFill="1" applyBorder="1" applyAlignment="1">
      <alignment wrapText="1"/>
    </xf>
    <xf numFmtId="0" fontId="11" fillId="2" borderId="0" xfId="0" applyFont="1" applyFill="1" applyAlignment="1">
      <alignment horizontal="left"/>
    </xf>
    <xf numFmtId="0" fontId="10" fillId="2" borderId="1" xfId="0" applyFont="1" applyFill="1" applyBorder="1" applyAlignment="1">
      <alignment horizontal="center" wrapText="1"/>
    </xf>
    <xf numFmtId="1" fontId="16" fillId="2" borderId="1" xfId="0" applyNumberFormat="1" applyFont="1" applyFill="1" applyBorder="1" applyAlignment="1">
      <alignment horizontal="left" wrapText="1"/>
    </xf>
    <xf numFmtId="0" fontId="11" fillId="2" borderId="0" xfId="0" applyFont="1" applyFill="1" applyAlignment="1">
      <alignment horizontal="left" vertical="center" wrapText="1"/>
    </xf>
    <xf numFmtId="1" fontId="10" fillId="2" borderId="1" xfId="2" applyNumberFormat="1" applyFont="1" applyFill="1" applyBorder="1" applyAlignment="1">
      <alignment horizontal="left"/>
    </xf>
    <xf numFmtId="0" fontId="10" fillId="2" borderId="13"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6" fillId="2" borderId="0" xfId="0" applyFont="1" applyFill="1" applyAlignment="1">
      <alignment horizontal="center" wrapText="1"/>
    </xf>
    <xf numFmtId="0" fontId="26" fillId="2" borderId="0" xfId="0" applyFont="1" applyFill="1" applyAlignment="1">
      <alignment horizontal="center" vertical="top"/>
    </xf>
    <xf numFmtId="0" fontId="27" fillId="2" borderId="0" xfId="0" applyFont="1" applyFill="1" applyAlignment="1">
      <alignment horizont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17" fillId="0" borderId="0" xfId="0" applyFont="1" applyAlignment="1">
      <alignment horizontal="center" vertical="center"/>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1" fillId="0" borderId="4" xfId="0" applyFont="1" applyBorder="1" applyAlignment="1">
      <alignment horizontal="left" vertical="center" wrapText="1"/>
    </xf>
    <xf numFmtId="1" fontId="11" fillId="0" borderId="4" xfId="0" applyNumberFormat="1" applyFont="1" applyBorder="1" applyAlignment="1">
      <alignment horizontal="center" vertical="center" wrapText="1"/>
    </xf>
    <xf numFmtId="0" fontId="11" fillId="0" borderId="4" xfId="0" applyFont="1" applyBorder="1" applyAlignment="1">
      <alignment horizontal="left" vertical="center"/>
    </xf>
    <xf numFmtId="0" fontId="17" fillId="0" borderId="0" xfId="0" applyFont="1" applyAlignment="1">
      <alignment horizontal="left" vertical="center"/>
    </xf>
    <xf numFmtId="0" fontId="10" fillId="0" borderId="0" xfId="0" applyFont="1" applyAlignment="1">
      <alignment horizontal="left" vertical="center" wrapText="1"/>
    </xf>
    <xf numFmtId="3" fontId="11" fillId="0" borderId="4" xfId="0" applyNumberFormat="1" applyFont="1" applyBorder="1" applyAlignment="1">
      <alignment horizontal="center" vertical="center" wrapText="1"/>
    </xf>
    <xf numFmtId="0" fontId="11" fillId="0" borderId="5" xfId="0" applyFont="1" applyBorder="1" applyAlignment="1">
      <alignment horizontal="left" vertical="center" wrapText="1"/>
    </xf>
    <xf numFmtId="1" fontId="16" fillId="0" borderId="4" xfId="0" applyNumberFormat="1" applyFont="1" applyBorder="1" applyAlignment="1">
      <alignment horizontal="center" vertical="center" wrapText="1"/>
    </xf>
    <xf numFmtId="0" fontId="31" fillId="0" borderId="0" xfId="0" applyFont="1" applyAlignment="1">
      <alignment horizontal="left" vertical="center" wrapText="1"/>
    </xf>
    <xf numFmtId="0" fontId="32" fillId="0" borderId="0" xfId="0" applyFont="1" applyAlignment="1">
      <alignment horizontal="left" vertical="center" wrapText="1"/>
    </xf>
    <xf numFmtId="0" fontId="33" fillId="0" borderId="4" xfId="0" applyFont="1" applyBorder="1" applyAlignment="1">
      <alignment horizontal="center" vertical="center" wrapText="1"/>
    </xf>
    <xf numFmtId="0" fontId="16" fillId="0" borderId="8" xfId="0" applyFont="1" applyBorder="1" applyAlignment="1">
      <alignment horizontal="left" vertical="center" wrapText="1"/>
    </xf>
    <xf numFmtId="0" fontId="11" fillId="0" borderId="4" xfId="0" applyFont="1" applyBorder="1" applyAlignment="1">
      <alignment horizontal="center" vertical="center"/>
    </xf>
    <xf numFmtId="1" fontId="11" fillId="0" borderId="4" xfId="0" applyNumberFormat="1" applyFont="1" applyBorder="1" applyAlignment="1">
      <alignment horizontal="center" vertical="center"/>
    </xf>
    <xf numFmtId="0" fontId="29" fillId="0" borderId="4" xfId="0" applyFont="1" applyBorder="1" applyAlignment="1">
      <alignment horizontal="left" vertical="center" wrapText="1"/>
    </xf>
    <xf numFmtId="0" fontId="29" fillId="0" borderId="4" xfId="0" applyFont="1" applyBorder="1" applyAlignment="1">
      <alignment horizontal="center" vertical="center"/>
    </xf>
    <xf numFmtId="1" fontId="29" fillId="0" borderId="4" xfId="0" applyNumberFormat="1" applyFont="1" applyBorder="1" applyAlignment="1">
      <alignment horizontal="center" vertical="center"/>
    </xf>
    <xf numFmtId="3" fontId="11" fillId="0" borderId="4" xfId="0" applyNumberFormat="1" applyFont="1" applyBorder="1" applyAlignment="1">
      <alignment horizontal="center" vertical="center"/>
    </xf>
    <xf numFmtId="0" fontId="11" fillId="0" borderId="4" xfId="0" applyFont="1" applyBorder="1" applyAlignment="1">
      <alignment horizontal="left" vertical="top"/>
    </xf>
    <xf numFmtId="0" fontId="11" fillId="0" borderId="4" xfId="0" applyFont="1" applyBorder="1" applyAlignment="1">
      <alignment horizontal="center" vertical="top"/>
    </xf>
    <xf numFmtId="1" fontId="11" fillId="0" borderId="4" xfId="0" applyNumberFormat="1" applyFont="1" applyBorder="1" applyAlignment="1">
      <alignment horizontal="center" vertical="top"/>
    </xf>
    <xf numFmtId="1" fontId="11" fillId="0" borderId="4" xfId="0" applyNumberFormat="1" applyFont="1" applyBorder="1" applyAlignment="1">
      <alignment horizontal="left" vertical="top"/>
    </xf>
    <xf numFmtId="0" fontId="17" fillId="0" borderId="0" xfId="0" applyFont="1" applyAlignment="1">
      <alignment horizontal="left"/>
    </xf>
    <xf numFmtId="0" fontId="17" fillId="0" borderId="0" xfId="0" applyFont="1" applyAlignment="1">
      <alignment horizontal="left" vertical="top"/>
    </xf>
    <xf numFmtId="0" fontId="16" fillId="0" borderId="15" xfId="0" applyFont="1" applyBorder="1" applyAlignment="1">
      <alignment horizontal="center" vertical="center" wrapText="1"/>
    </xf>
    <xf numFmtId="0" fontId="0" fillId="0" borderId="1" xfId="0" applyBorder="1" applyAlignment="1">
      <alignment horizontal="left" vertical="center" wrapText="1"/>
    </xf>
    <xf numFmtId="0" fontId="16"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15" xfId="0" applyFont="1" applyBorder="1" applyAlignment="1">
      <alignment horizontal="left" vertical="center" wrapText="1"/>
    </xf>
    <xf numFmtId="0" fontId="11" fillId="0" borderId="1" xfId="0" applyFont="1" applyBorder="1" applyAlignment="1">
      <alignment horizontal="center" vertical="center" wrapText="1"/>
    </xf>
    <xf numFmtId="0" fontId="16" fillId="0" borderId="15" xfId="0" applyFont="1" applyBorder="1" applyAlignment="1">
      <alignment horizontal="left" vertical="center" wrapText="1"/>
    </xf>
    <xf numFmtId="0" fontId="6" fillId="0" borderId="4" xfId="0" applyFont="1" applyBorder="1" applyAlignment="1">
      <alignment horizontal="center" vertical="center" wrapText="1"/>
    </xf>
    <xf numFmtId="0" fontId="17" fillId="0" borderId="4" xfId="0" applyFont="1" applyBorder="1" applyAlignment="1">
      <alignment horizontal="left" vertical="center" wrapText="1"/>
    </xf>
    <xf numFmtId="164" fontId="17" fillId="0" borderId="4" xfId="1" applyNumberFormat="1" applyFont="1" applyBorder="1" applyAlignment="1">
      <alignment vertical="center" wrapText="1"/>
    </xf>
    <xf numFmtId="164" fontId="12" fillId="0" borderId="1" xfId="1" applyNumberFormat="1" applyFont="1" applyBorder="1" applyAlignment="1">
      <alignment vertical="top"/>
    </xf>
    <xf numFmtId="0" fontId="0" fillId="0" borderId="1" xfId="0" applyBorder="1" applyAlignment="1">
      <alignment horizontal="center" vertical="center" wrapText="1"/>
    </xf>
    <xf numFmtId="0" fontId="0" fillId="0" borderId="1" xfId="0" applyBorder="1" applyAlignment="1">
      <alignment horizontal="center" vertical="center"/>
    </xf>
    <xf numFmtId="43" fontId="0" fillId="0" borderId="1" xfId="1" applyFont="1" applyBorder="1" applyAlignment="1">
      <alignment horizontal="center" vertical="center"/>
    </xf>
    <xf numFmtId="43" fontId="0" fillId="0" borderId="13" xfId="1" applyFont="1" applyBorder="1" applyAlignment="1">
      <alignment horizontal="center" vertical="center"/>
    </xf>
    <xf numFmtId="0" fontId="0" fillId="0" borderId="1" xfId="0" applyBorder="1" applyAlignment="1">
      <alignment horizont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37" fillId="0" borderId="3" xfId="0" applyFont="1" applyBorder="1" applyAlignment="1">
      <alignment horizontal="center" vertical="center" wrapText="1"/>
    </xf>
    <xf numFmtId="0" fontId="37" fillId="0" borderId="16" xfId="0" applyFont="1" applyBorder="1" applyAlignment="1">
      <alignment horizontal="center" vertical="center" wrapText="1"/>
    </xf>
    <xf numFmtId="0" fontId="40" fillId="0" borderId="12" xfId="0" applyFont="1" applyBorder="1" applyAlignment="1">
      <alignment horizontal="center" vertical="center"/>
    </xf>
    <xf numFmtId="0" fontId="42" fillId="0" borderId="5" xfId="0" applyFont="1" applyBorder="1" applyAlignment="1">
      <alignment horizontal="left" vertical="center" wrapText="1"/>
    </xf>
    <xf numFmtId="0" fontId="42" fillId="0" borderId="5" xfId="0" applyFont="1" applyBorder="1" applyAlignment="1">
      <alignment horizontal="center" vertical="center" wrapText="1"/>
    </xf>
    <xf numFmtId="0" fontId="43" fillId="0" borderId="4" xfId="0" applyFont="1" applyBorder="1" applyAlignment="1">
      <alignment horizontal="left" vertical="center" wrapText="1"/>
    </xf>
    <xf numFmtId="3" fontId="43" fillId="0" borderId="8" xfId="0" applyNumberFormat="1" applyFont="1" applyBorder="1" applyAlignment="1">
      <alignment horizontal="left" vertical="center" wrapText="1"/>
    </xf>
    <xf numFmtId="3" fontId="43" fillId="0" borderId="4" xfId="0" applyNumberFormat="1" applyFont="1" applyBorder="1" applyAlignment="1">
      <alignment horizontal="left" vertical="center" wrapText="1"/>
    </xf>
    <xf numFmtId="0" fontId="43" fillId="0" borderId="8" xfId="0" applyFont="1" applyBorder="1" applyAlignment="1">
      <alignment horizontal="left" vertical="center" wrapText="1"/>
    </xf>
    <xf numFmtId="0" fontId="42" fillId="0" borderId="1" xfId="0" applyFont="1" applyBorder="1" applyAlignment="1">
      <alignment horizontal="center" vertical="center" wrapText="1"/>
    </xf>
    <xf numFmtId="0" fontId="42" fillId="0" borderId="16" xfId="0" applyFont="1" applyBorder="1" applyAlignment="1">
      <alignment horizontal="left" vertical="center" wrapText="1"/>
    </xf>
    <xf numFmtId="0" fontId="0" fillId="0" borderId="12" xfId="0"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0" fillId="0" borderId="16" xfId="0" applyBorder="1" applyAlignment="1">
      <alignment horizontal="left" vertical="center" wrapText="1"/>
    </xf>
    <xf numFmtId="0" fontId="45" fillId="0" borderId="9" xfId="0" applyFont="1" applyBorder="1" applyAlignment="1">
      <alignment horizontal="left" vertical="center" wrapText="1"/>
    </xf>
    <xf numFmtId="0" fontId="44" fillId="0" borderId="5" xfId="0" applyFont="1" applyBorder="1" applyAlignment="1">
      <alignment horizontal="left" vertical="center" wrapText="1"/>
    </xf>
    <xf numFmtId="0" fontId="44" fillId="0" borderId="6" xfId="0" applyFont="1" applyBorder="1" applyAlignment="1">
      <alignment horizontal="left" vertical="center" wrapText="1"/>
    </xf>
    <xf numFmtId="0" fontId="43" fillId="0" borderId="1" xfId="0" applyFont="1" applyBorder="1" applyAlignment="1">
      <alignment horizontal="justify" vertical="center" wrapText="1"/>
    </xf>
    <xf numFmtId="0" fontId="43" fillId="0" borderId="1" xfId="0" applyFont="1" applyBorder="1" applyAlignment="1">
      <alignment horizontal="left" vertical="center" wrapText="1"/>
    </xf>
    <xf numFmtId="3" fontId="43" fillId="0" borderId="1" xfId="0" applyNumberFormat="1" applyFont="1" applyBorder="1" applyAlignment="1">
      <alignment horizontal="justify" vertical="center" wrapText="1"/>
    </xf>
    <xf numFmtId="0" fontId="43" fillId="0" borderId="1" xfId="0" applyFont="1" applyBorder="1" applyAlignment="1">
      <alignment horizontal="left" vertical="top"/>
    </xf>
    <xf numFmtId="0" fontId="42" fillId="0" borderId="8" xfId="0" applyFont="1" applyBorder="1" applyAlignment="1">
      <alignment horizontal="left" vertical="center" wrapText="1"/>
    </xf>
    <xf numFmtId="0" fontId="41" fillId="0" borderId="1" xfId="0" applyFont="1" applyBorder="1" applyAlignment="1">
      <alignment horizontal="left" vertical="center"/>
    </xf>
    <xf numFmtId="0" fontId="41" fillId="0" borderId="1" xfId="0" applyFont="1" applyBorder="1" applyAlignment="1">
      <alignment horizontal="left" vertical="top"/>
    </xf>
    <xf numFmtId="3" fontId="0" fillId="0" borderId="13" xfId="0" applyNumberFormat="1" applyBorder="1" applyAlignment="1">
      <alignment horizontal="left" vertical="top"/>
    </xf>
    <xf numFmtId="0" fontId="41" fillId="0" borderId="0" xfId="0" applyFont="1" applyAlignment="1">
      <alignment horizontal="left" vertical="top"/>
    </xf>
    <xf numFmtId="0" fontId="17" fillId="2" borderId="1" xfId="0" applyFont="1" applyFill="1" applyBorder="1" applyAlignment="1">
      <alignment horizontal="left" vertical="top" wrapText="1"/>
    </xf>
    <xf numFmtId="0" fontId="17" fillId="2" borderId="1"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17" fillId="0" borderId="0" xfId="0" applyFont="1" applyAlignment="1">
      <alignment horizontal="left" vertical="top" wrapText="1"/>
    </xf>
    <xf numFmtId="0" fontId="17" fillId="2" borderId="1" xfId="0" applyFont="1" applyFill="1" applyBorder="1" applyAlignment="1">
      <alignment horizontal="left" vertical="center" indent="1"/>
    </xf>
    <xf numFmtId="0" fontId="34" fillId="0" borderId="0" xfId="0" applyFont="1" applyAlignment="1">
      <alignment horizontal="center" vertical="top"/>
    </xf>
    <xf numFmtId="0" fontId="6" fillId="0" borderId="4" xfId="0" applyFont="1" applyBorder="1" applyAlignment="1">
      <alignment horizontal="left" vertical="center" wrapText="1"/>
    </xf>
    <xf numFmtId="0" fontId="12" fillId="0" borderId="4" xfId="0" applyFont="1" applyBorder="1" applyAlignment="1">
      <alignment horizontal="left" vertical="center" wrapText="1"/>
    </xf>
    <xf numFmtId="3" fontId="0" fillId="0" borderId="1" xfId="0" applyNumberFormat="1" applyBorder="1" applyAlignment="1">
      <alignment horizontal="left" vertical="top"/>
    </xf>
    <xf numFmtId="0" fontId="15" fillId="0" borderId="8" xfId="0" applyFont="1" applyBorder="1" applyAlignment="1">
      <alignment wrapText="1"/>
    </xf>
    <xf numFmtId="165" fontId="54" fillId="4" borderId="4" xfId="0" applyNumberFormat="1" applyFont="1" applyFill="1" applyBorder="1" applyAlignment="1">
      <alignment horizontal="right" wrapText="1"/>
    </xf>
    <xf numFmtId="165" fontId="15" fillId="0" borderId="4" xfId="0" applyNumberFormat="1" applyFont="1" applyBorder="1" applyAlignment="1">
      <alignment horizontal="right" wrapText="1"/>
    </xf>
    <xf numFmtId="165" fontId="55" fillId="0" borderId="4" xfId="0" applyNumberFormat="1" applyFont="1" applyBorder="1" applyAlignment="1">
      <alignment horizontal="right" wrapText="1"/>
    </xf>
    <xf numFmtId="165" fontId="54" fillId="5" borderId="4" xfId="0" applyNumberFormat="1" applyFont="1" applyFill="1" applyBorder="1" applyAlignment="1">
      <alignment horizontal="right" wrapText="1"/>
    </xf>
    <xf numFmtId="165" fontId="56" fillId="4" borderId="4" xfId="0" applyNumberFormat="1" applyFont="1" applyFill="1" applyBorder="1" applyAlignment="1">
      <alignment horizontal="right"/>
    </xf>
    <xf numFmtId="165" fontId="51" fillId="0" borderId="4" xfId="0" applyNumberFormat="1" applyFont="1" applyBorder="1" applyAlignment="1">
      <alignment horizontal="right"/>
    </xf>
    <xf numFmtId="0" fontId="57" fillId="5" borderId="8" xfId="0" applyFont="1" applyFill="1" applyBorder="1" applyAlignment="1">
      <alignment wrapText="1"/>
    </xf>
    <xf numFmtId="165" fontId="15" fillId="0" borderId="4" xfId="0" applyNumberFormat="1" applyFont="1" applyBorder="1" applyAlignment="1">
      <alignment vertical="top" wrapText="1"/>
    </xf>
    <xf numFmtId="165" fontId="15" fillId="4" borderId="4" xfId="0" applyNumberFormat="1" applyFont="1" applyFill="1" applyBorder="1" applyAlignment="1">
      <alignment horizontal="center" vertical="top" wrapText="1"/>
    </xf>
    <xf numFmtId="165" fontId="15" fillId="0" borderId="4" xfId="0" applyNumberFormat="1" applyFont="1" applyBorder="1" applyAlignment="1">
      <alignment horizontal="center" vertical="top" wrapText="1"/>
    </xf>
    <xf numFmtId="0" fontId="15" fillId="0" borderId="0" xfId="0" applyFont="1" applyAlignment="1">
      <alignment wrapText="1"/>
    </xf>
    <xf numFmtId="0" fontId="55" fillId="7" borderId="4" xfId="0" applyFont="1" applyFill="1" applyBorder="1" applyAlignment="1">
      <alignment horizontal="center" vertical="center" wrapText="1"/>
    </xf>
    <xf numFmtId="0" fontId="55" fillId="7" borderId="8" xfId="0" applyFont="1" applyFill="1" applyBorder="1" applyAlignment="1">
      <alignment horizontal="center" vertical="center" wrapText="1"/>
    </xf>
    <xf numFmtId="0" fontId="15" fillId="7" borderId="4" xfId="0" applyFont="1" applyFill="1" applyBorder="1" applyAlignment="1">
      <alignment wrapText="1"/>
    </xf>
    <xf numFmtId="0" fontId="55" fillId="7" borderId="31" xfId="0" applyFont="1" applyFill="1" applyBorder="1" applyAlignment="1">
      <alignment horizontal="center" vertical="center" wrapText="1"/>
    </xf>
    <xf numFmtId="15" fontId="55" fillId="7" borderId="4" xfId="0" applyNumberFormat="1" applyFont="1" applyFill="1" applyBorder="1" applyAlignment="1">
      <alignment horizontal="center" vertical="center" wrapText="1"/>
    </xf>
    <xf numFmtId="0" fontId="15" fillId="0" borderId="0" xfId="0" applyFont="1" applyAlignment="1">
      <alignment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top" wrapText="1"/>
    </xf>
    <xf numFmtId="0" fontId="55" fillId="0" borderId="4" xfId="0" applyFont="1" applyBorder="1" applyAlignment="1">
      <alignment horizontal="center" vertical="top" wrapText="1"/>
    </xf>
    <xf numFmtId="0" fontId="15" fillId="0" borderId="4" xfId="0" applyFont="1" applyBorder="1" applyAlignment="1">
      <alignment horizontal="center" vertical="top" wrapText="1"/>
    </xf>
    <xf numFmtId="165" fontId="54" fillId="4" borderId="5" xfId="0" applyNumberFormat="1" applyFont="1" applyFill="1" applyBorder="1" applyAlignment="1">
      <alignment horizontal="right" wrapText="1"/>
    </xf>
    <xf numFmtId="165" fontId="15" fillId="0" borderId="5" xfId="0" applyNumberFormat="1" applyFont="1" applyBorder="1" applyAlignment="1">
      <alignment horizontal="right" wrapText="1"/>
    </xf>
    <xf numFmtId="165" fontId="20" fillId="0" borderId="4" xfId="0" applyNumberFormat="1" applyFont="1" applyBorder="1" applyAlignment="1">
      <alignment horizontal="right"/>
    </xf>
    <xf numFmtId="165" fontId="15" fillId="0" borderId="9" xfId="0" applyNumberFormat="1" applyFont="1" applyBorder="1" applyAlignment="1">
      <alignment horizontal="right" wrapText="1"/>
    </xf>
    <xf numFmtId="0" fontId="15" fillId="0" borderId="4" xfId="0" applyFont="1" applyBorder="1" applyAlignment="1">
      <alignment wrapText="1"/>
    </xf>
    <xf numFmtId="0" fontId="54" fillId="0" borderId="4" xfId="0" applyFont="1" applyBorder="1" applyAlignment="1">
      <alignment wrapText="1"/>
    </xf>
    <xf numFmtId="0" fontId="15" fillId="0" borderId="4" xfId="0" applyFont="1" applyBorder="1" applyAlignment="1">
      <alignment horizontal="left" vertical="top" wrapText="1"/>
    </xf>
    <xf numFmtId="0" fontId="61" fillId="5" borderId="8" xfId="0" applyFont="1" applyFill="1" applyBorder="1" applyAlignment="1">
      <alignment wrapText="1"/>
    </xf>
    <xf numFmtId="0" fontId="15" fillId="0" borderId="8" xfId="0" applyFont="1" applyBorder="1" applyAlignment="1">
      <alignment vertical="top" wrapText="1"/>
    </xf>
    <xf numFmtId="0" fontId="55" fillId="7" borderId="4" xfId="0" applyFont="1" applyFill="1" applyBorder="1" applyAlignment="1">
      <alignment vertical="top" wrapText="1"/>
    </xf>
    <xf numFmtId="165" fontId="55" fillId="7" borderId="3" xfId="0" applyNumberFormat="1" applyFont="1" applyFill="1" applyBorder="1" applyAlignment="1">
      <alignment vertical="top" wrapText="1"/>
    </xf>
    <xf numFmtId="165" fontId="15" fillId="7" borderId="3" xfId="0" applyNumberFormat="1" applyFont="1" applyFill="1" applyBorder="1" applyAlignment="1">
      <alignment horizontal="center" vertical="top" wrapText="1"/>
    </xf>
    <xf numFmtId="165" fontId="55" fillId="7" borderId="4" xfId="0" applyNumberFormat="1" applyFont="1" applyFill="1" applyBorder="1" applyAlignment="1">
      <alignment wrapText="1"/>
    </xf>
    <xf numFmtId="0" fontId="15" fillId="7" borderId="4" xfId="0" applyFont="1" applyFill="1" applyBorder="1" applyAlignment="1">
      <alignment horizontal="center" vertical="top" wrapText="1"/>
    </xf>
    <xf numFmtId="0" fontId="57" fillId="0" borderId="4" xfId="0" applyFont="1" applyBorder="1" applyAlignment="1">
      <alignment vertical="top" wrapText="1"/>
    </xf>
    <xf numFmtId="165" fontId="15" fillId="4" borderId="4" xfId="0" applyNumberFormat="1" applyFont="1" applyFill="1" applyBorder="1" applyAlignment="1">
      <alignment horizontal="right" wrapText="1"/>
    </xf>
    <xf numFmtId="0" fontId="15" fillId="0" borderId="4" xfId="0" applyFont="1" applyBorder="1" applyAlignment="1">
      <alignment vertical="top" wrapText="1"/>
    </xf>
    <xf numFmtId="0" fontId="15" fillId="5" borderId="0" xfId="0" applyFont="1" applyFill="1" applyAlignment="1">
      <alignment wrapText="1"/>
    </xf>
    <xf numFmtId="0" fontId="55" fillId="7" borderId="5" xfId="0" applyFont="1" applyFill="1" applyBorder="1" applyAlignment="1">
      <alignment vertical="top" wrapText="1"/>
    </xf>
    <xf numFmtId="165" fontId="55" fillId="7" borderId="4" xfId="0" applyNumberFormat="1" applyFont="1" applyFill="1" applyBorder="1" applyAlignment="1">
      <alignment vertical="top" wrapText="1"/>
    </xf>
    <xf numFmtId="165" fontId="15" fillId="7" borderId="5" xfId="0" applyNumberFormat="1" applyFont="1" applyFill="1" applyBorder="1" applyAlignment="1">
      <alignment horizontal="center" vertical="top" wrapText="1"/>
    </xf>
    <xf numFmtId="0" fontId="15" fillId="7" borderId="5" xfId="0" applyFont="1" applyFill="1" applyBorder="1" applyAlignment="1">
      <alignment horizontal="center" vertical="top" wrapText="1"/>
    </xf>
    <xf numFmtId="165" fontId="15" fillId="0" borderId="31" xfId="0" applyNumberFormat="1" applyFont="1" applyBorder="1" applyAlignment="1">
      <alignment vertical="top" wrapText="1"/>
    </xf>
    <xf numFmtId="165" fontId="15" fillId="0" borderId="31" xfId="0" applyNumberFormat="1" applyFont="1" applyBorder="1" applyAlignment="1">
      <alignment horizontal="center" vertical="top" wrapText="1"/>
    </xf>
    <xf numFmtId="0" fontId="15" fillId="0" borderId="7" xfId="0" applyFont="1" applyBorder="1" applyAlignment="1">
      <alignment horizontal="center" vertical="top" wrapText="1"/>
    </xf>
    <xf numFmtId="0" fontId="55" fillId="6" borderId="3" xfId="0" applyFont="1" applyFill="1" applyBorder="1" applyAlignment="1">
      <alignment vertical="center" wrapText="1"/>
    </xf>
    <xf numFmtId="165" fontId="55" fillId="6" borderId="3" xfId="0" applyNumberFormat="1" applyFont="1" applyFill="1" applyBorder="1" applyAlignment="1">
      <alignment horizontal="right" vertical="center" wrapText="1"/>
    </xf>
    <xf numFmtId="165" fontId="55" fillId="6" borderId="3" xfId="0" applyNumberFormat="1" applyFont="1" applyFill="1" applyBorder="1" applyAlignment="1">
      <alignment horizontal="center" vertical="center" wrapText="1"/>
    </xf>
    <xf numFmtId="0" fontId="55" fillId="6" borderId="3" xfId="0" applyFont="1" applyFill="1" applyBorder="1" applyAlignment="1">
      <alignment horizontal="center" vertical="center" wrapText="1"/>
    </xf>
    <xf numFmtId="0" fontId="55" fillId="0" borderId="0" xfId="0" applyFont="1" applyAlignment="1">
      <alignment wrapText="1"/>
    </xf>
    <xf numFmtId="0" fontId="15" fillId="4" borderId="0" xfId="0" applyFont="1" applyFill="1" applyAlignment="1">
      <alignment wrapText="1"/>
    </xf>
    <xf numFmtId="0" fontId="20" fillId="0" borderId="0" xfId="0" applyFont="1" applyAlignment="1">
      <alignment wrapText="1"/>
    </xf>
    <xf numFmtId="0" fontId="55" fillId="9" borderId="4" xfId="0" applyFont="1" applyFill="1" applyBorder="1" applyAlignment="1">
      <alignment horizontal="center" vertical="center" wrapText="1"/>
    </xf>
    <xf numFmtId="0" fontId="55" fillId="9" borderId="31" xfId="0" applyFont="1" applyFill="1" applyBorder="1" applyAlignment="1">
      <alignment horizontal="center" vertical="center" wrapText="1"/>
    </xf>
    <xf numFmtId="165" fontId="15" fillId="0" borderId="0" xfId="0" applyNumberFormat="1" applyFont="1" applyAlignment="1">
      <alignment horizontal="right" wrapText="1"/>
    </xf>
    <xf numFmtId="165" fontId="55" fillId="0" borderId="0" xfId="0" applyNumberFormat="1" applyFont="1" applyAlignment="1">
      <alignment horizontal="right" wrapText="1"/>
    </xf>
    <xf numFmtId="166" fontId="15" fillId="0" borderId="4" xfId="0" applyNumberFormat="1" applyFont="1" applyBorder="1" applyAlignment="1">
      <alignment wrapText="1"/>
    </xf>
    <xf numFmtId="165" fontId="15" fillId="0" borderId="4" xfId="0" applyNumberFormat="1" applyFont="1" applyBorder="1" applyAlignment="1">
      <alignment wrapText="1"/>
    </xf>
    <xf numFmtId="165" fontId="15" fillId="0" borderId="0" xfId="0" applyNumberFormat="1" applyFont="1" applyAlignment="1">
      <alignment horizontal="center" vertical="top" wrapText="1"/>
    </xf>
    <xf numFmtId="166" fontId="15" fillId="4" borderId="4" xfId="0" applyNumberFormat="1" applyFont="1" applyFill="1" applyBorder="1" applyAlignment="1">
      <alignment wrapText="1"/>
    </xf>
    <xf numFmtId="166" fontId="15" fillId="4" borderId="4" xfId="0" applyNumberFormat="1" applyFont="1" applyFill="1" applyBorder="1" applyAlignment="1">
      <alignment vertical="top" wrapText="1"/>
    </xf>
    <xf numFmtId="166" fontId="15" fillId="0" borderId="7" xfId="0" applyNumberFormat="1" applyFont="1" applyBorder="1" applyAlignment="1">
      <alignment wrapText="1"/>
    </xf>
    <xf numFmtId="0" fontId="15" fillId="0" borderId="0" xfId="0" applyFont="1" applyAlignment="1">
      <alignment vertical="top" wrapText="1"/>
    </xf>
    <xf numFmtId="166" fontId="15" fillId="0" borderId="4" xfId="0" applyNumberFormat="1" applyFont="1" applyBorder="1" applyAlignment="1">
      <alignment vertical="top" wrapText="1"/>
    </xf>
    <xf numFmtId="166" fontId="15" fillId="0" borderId="4" xfId="0" applyNumberFormat="1" applyFont="1" applyBorder="1" applyAlignment="1">
      <alignment horizontal="center" vertical="top" wrapText="1"/>
    </xf>
    <xf numFmtId="166" fontId="55" fillId="7" borderId="4" xfId="0" applyNumberFormat="1" applyFont="1" applyFill="1" applyBorder="1" applyAlignment="1">
      <alignment wrapText="1"/>
    </xf>
    <xf numFmtId="165" fontId="15" fillId="7" borderId="4" xfId="0" applyNumberFormat="1" applyFont="1" applyFill="1" applyBorder="1" applyAlignment="1">
      <alignment horizontal="center" vertical="top" wrapText="1"/>
    </xf>
    <xf numFmtId="166" fontId="15" fillId="7" borderId="4" xfId="0" applyNumberFormat="1" applyFont="1" applyFill="1" applyBorder="1" applyAlignment="1">
      <alignment horizontal="center" vertical="top" wrapText="1"/>
    </xf>
    <xf numFmtId="166" fontId="15" fillId="5" borderId="4" xfId="0" applyNumberFormat="1" applyFont="1" applyFill="1" applyBorder="1" applyAlignment="1">
      <alignment wrapText="1"/>
    </xf>
    <xf numFmtId="165" fontId="15" fillId="0" borderId="7" xfId="0" applyNumberFormat="1" applyFont="1" applyBorder="1" applyAlignment="1">
      <alignment wrapText="1"/>
    </xf>
    <xf numFmtId="165" fontId="15" fillId="0" borderId="8" xfId="0" applyNumberFormat="1" applyFont="1" applyBorder="1" applyAlignment="1">
      <alignment wrapText="1"/>
    </xf>
    <xf numFmtId="166" fontId="51" fillId="0" borderId="4" xfId="0" applyNumberFormat="1" applyFont="1" applyBorder="1"/>
    <xf numFmtId="165" fontId="15" fillId="0" borderId="9" xfId="0" applyNumberFormat="1" applyFont="1" applyBorder="1" applyAlignment="1">
      <alignment wrapText="1"/>
    </xf>
    <xf numFmtId="165" fontId="15" fillId="0" borderId="6" xfId="0" applyNumberFormat="1" applyFont="1" applyBorder="1" applyAlignment="1">
      <alignment wrapText="1"/>
    </xf>
    <xf numFmtId="166" fontId="57" fillId="0" borderId="4" xfId="0" applyNumberFormat="1" applyFont="1" applyBorder="1" applyAlignment="1">
      <alignment wrapText="1"/>
    </xf>
    <xf numFmtId="165" fontId="55" fillId="7" borderId="3" xfId="0" applyNumberFormat="1" applyFont="1" applyFill="1" applyBorder="1" applyAlignment="1">
      <alignment wrapText="1"/>
    </xf>
    <xf numFmtId="166" fontId="55" fillId="5" borderId="8" xfId="0" applyNumberFormat="1" applyFont="1" applyFill="1" applyBorder="1" applyAlignment="1">
      <alignment wrapText="1"/>
    </xf>
    <xf numFmtId="165" fontId="55" fillId="5" borderId="31" xfId="0" applyNumberFormat="1" applyFont="1" applyFill="1" applyBorder="1" applyAlignment="1">
      <alignment wrapText="1"/>
    </xf>
    <xf numFmtId="165" fontId="15" fillId="5" borderId="31" xfId="0" applyNumberFormat="1" applyFont="1" applyFill="1" applyBorder="1" applyAlignment="1">
      <alignment horizontal="center" vertical="top" wrapText="1"/>
    </xf>
    <xf numFmtId="166" fontId="15" fillId="5" borderId="7" xfId="0" applyNumberFormat="1" applyFont="1" applyFill="1" applyBorder="1" applyAlignment="1">
      <alignment horizontal="center" vertical="top" wrapText="1"/>
    </xf>
    <xf numFmtId="166" fontId="55" fillId="8" borderId="3" xfId="0" applyNumberFormat="1" applyFont="1" applyFill="1" applyBorder="1" applyAlignment="1">
      <alignment vertical="center" wrapText="1"/>
    </xf>
    <xf numFmtId="165" fontId="55" fillId="8" borderId="3" xfId="0" applyNumberFormat="1" applyFont="1" applyFill="1" applyBorder="1" applyAlignment="1">
      <alignment wrapText="1"/>
    </xf>
    <xf numFmtId="165" fontId="55" fillId="8" borderId="3" xfId="0" applyNumberFormat="1" applyFont="1" applyFill="1" applyBorder="1" applyAlignment="1">
      <alignment horizontal="center" vertical="center" wrapText="1"/>
    </xf>
    <xf numFmtId="166" fontId="55" fillId="8" borderId="3" xfId="0" applyNumberFormat="1" applyFont="1" applyFill="1" applyBorder="1" applyAlignment="1">
      <alignment horizontal="center" vertical="center" wrapText="1"/>
    </xf>
    <xf numFmtId="0" fontId="15" fillId="4" borderId="4" xfId="0" applyFont="1" applyFill="1" applyBorder="1" applyAlignment="1">
      <alignment wrapText="1"/>
    </xf>
    <xf numFmtId="0" fontId="62" fillId="0" borderId="3" xfId="0" applyFont="1" applyBorder="1" applyAlignment="1">
      <alignment horizontal="center" vertical="center" wrapText="1"/>
    </xf>
    <xf numFmtId="4" fontId="11" fillId="2" borderId="1" xfId="0" applyNumberFormat="1" applyFont="1" applyFill="1" applyBorder="1" applyAlignment="1">
      <alignment horizontal="center" vertical="center" wrapText="1"/>
    </xf>
    <xf numFmtId="4" fontId="29" fillId="2" borderId="1" xfId="0" applyNumberFormat="1" applyFont="1" applyFill="1" applyBorder="1" applyAlignment="1">
      <alignment horizontal="center" vertical="center" wrapText="1"/>
    </xf>
    <xf numFmtId="4" fontId="63" fillId="2" borderId="1" xfId="0" applyNumberFormat="1" applyFont="1" applyFill="1" applyBorder="1" applyAlignment="1">
      <alignment horizontal="center" vertical="center" wrapText="1"/>
    </xf>
    <xf numFmtId="0" fontId="64" fillId="2" borderId="1" xfId="0" applyFont="1" applyFill="1" applyBorder="1" applyAlignment="1">
      <alignment horizontal="left" vertical="center" wrapText="1"/>
    </xf>
    <xf numFmtId="0" fontId="65" fillId="0" borderId="0" xfId="0" applyFont="1" applyAlignment="1">
      <alignment horizontal="left" vertical="top"/>
    </xf>
    <xf numFmtId="0" fontId="62" fillId="0" borderId="0" xfId="0" applyFont="1" applyAlignment="1">
      <alignment horizontal="left" vertical="top"/>
    </xf>
    <xf numFmtId="4" fontId="62" fillId="0" borderId="0" xfId="0" applyNumberFormat="1" applyFont="1" applyAlignment="1">
      <alignment horizontal="left" vertical="top"/>
    </xf>
    <xf numFmtId="4" fontId="7" fillId="0" borderId="0" xfId="0" applyNumberFormat="1" applyFont="1" applyAlignment="1">
      <alignment horizontal="center" vertical="center"/>
    </xf>
    <xf numFmtId="0" fontId="1" fillId="0" borderId="1" xfId="0" applyFont="1" applyBorder="1" applyAlignment="1">
      <alignment horizontal="center" vertical="center" wrapText="1"/>
    </xf>
    <xf numFmtId="0" fontId="8" fillId="0" borderId="1" xfId="0" applyFont="1" applyBorder="1" applyAlignment="1">
      <alignment horizontal="center" vertical="center" wrapText="1"/>
    </xf>
    <xf numFmtId="3" fontId="47" fillId="0" borderId="1" xfId="0" applyNumberFormat="1" applyFont="1" applyBorder="1" applyAlignment="1">
      <alignment horizontal="right" vertical="center" wrapText="1"/>
    </xf>
    <xf numFmtId="0" fontId="48" fillId="0" borderId="1" xfId="0" applyFont="1" applyBorder="1" applyAlignment="1">
      <alignment horizontal="right" vertical="center" wrapText="1"/>
    </xf>
    <xf numFmtId="0" fontId="1" fillId="0" borderId="1" xfId="0" applyFont="1" applyBorder="1" applyAlignment="1">
      <alignment horizontal="right" vertical="center" wrapText="1"/>
    </xf>
    <xf numFmtId="0" fontId="49" fillId="0" borderId="1" xfId="0" applyFont="1" applyBorder="1" applyAlignment="1">
      <alignment horizontal="right" vertical="center" wrapText="1"/>
    </xf>
    <xf numFmtId="0" fontId="47" fillId="0" borderId="1" xfId="0" applyFont="1" applyBorder="1" applyAlignment="1">
      <alignment horizontal="right" vertical="center" wrapText="1"/>
    </xf>
    <xf numFmtId="0" fontId="51" fillId="0" borderId="1" xfId="0" applyFont="1" applyBorder="1" applyAlignment="1">
      <alignment horizontal="left" vertical="center" wrapText="1"/>
    </xf>
    <xf numFmtId="0" fontId="8" fillId="0" borderId="1" xfId="0" applyFont="1" applyBorder="1" applyAlignment="1">
      <alignment horizontal="left" vertical="top"/>
    </xf>
    <xf numFmtId="0" fontId="1" fillId="0" borderId="1" xfId="0" applyFont="1" applyBorder="1" applyAlignment="1">
      <alignment horizontal="left" vertical="center" wrapText="1"/>
    </xf>
    <xf numFmtId="0" fontId="17" fillId="0" borderId="1" xfId="0" applyFont="1" applyBorder="1" applyAlignment="1">
      <alignment horizontal="right" vertical="center" wrapText="1"/>
    </xf>
    <xf numFmtId="0" fontId="51" fillId="0" borderId="1" xfId="0" applyFont="1" applyBorder="1" applyAlignment="1">
      <alignment horizontal="left" vertical="top"/>
    </xf>
    <xf numFmtId="3" fontId="52" fillId="0" borderId="1" xfId="0" applyNumberFormat="1" applyFont="1" applyBorder="1" applyAlignment="1">
      <alignment horizontal="right" vertical="center"/>
    </xf>
    <xf numFmtId="0" fontId="8" fillId="0" borderId="1" xfId="0" applyFont="1" applyBorder="1" applyAlignment="1">
      <alignment horizontal="center" vertical="top"/>
    </xf>
    <xf numFmtId="0" fontId="17" fillId="0" borderId="0" xfId="0" applyFont="1" applyAlignment="1">
      <alignment horizontal="center" vertical="top"/>
    </xf>
    <xf numFmtId="1" fontId="34" fillId="0" borderId="0" xfId="0" applyNumberFormat="1" applyFont="1" applyAlignment="1">
      <alignment horizontal="center" vertical="top"/>
    </xf>
    <xf numFmtId="0" fontId="34" fillId="0" borderId="0" xfId="0" applyFont="1" applyAlignment="1">
      <alignment horizontal="left" vertical="top"/>
    </xf>
    <xf numFmtId="0" fontId="70" fillId="0" borderId="4" xfId="0" applyFont="1" applyBorder="1" applyAlignment="1">
      <alignment horizontal="center" vertical="center" wrapText="1"/>
    </xf>
    <xf numFmtId="0" fontId="73" fillId="0" borderId="4" xfId="0" applyFont="1" applyBorder="1" applyAlignment="1">
      <alignment horizontal="center" vertical="center" wrapText="1"/>
    </xf>
    <xf numFmtId="0" fontId="71" fillId="0" borderId="4" xfId="0" applyFont="1" applyBorder="1" applyAlignment="1">
      <alignment horizontal="center" vertical="center"/>
    </xf>
    <xf numFmtId="0" fontId="73" fillId="0" borderId="0" xfId="0" applyFont="1" applyAlignment="1">
      <alignment horizontal="center" vertical="center"/>
    </xf>
    <xf numFmtId="0" fontId="72" fillId="0" borderId="4" xfId="0" applyFont="1" applyBorder="1" applyAlignment="1">
      <alignment horizontal="left" vertical="center" wrapText="1"/>
    </xf>
    <xf numFmtId="0" fontId="72" fillId="0" borderId="4" xfId="0" applyFont="1" applyBorder="1" applyAlignment="1">
      <alignment horizontal="center" vertical="center" wrapText="1"/>
    </xf>
    <xf numFmtId="0" fontId="72" fillId="0" borderId="4" xfId="0" applyFont="1" applyBorder="1" applyAlignment="1">
      <alignment horizontal="left" vertical="center"/>
    </xf>
    <xf numFmtId="0" fontId="73" fillId="0" borderId="0" xfId="0" applyFont="1" applyAlignment="1">
      <alignment horizontal="left" vertical="center"/>
    </xf>
    <xf numFmtId="0" fontId="72" fillId="3" borderId="4" xfId="0" applyFont="1" applyFill="1" applyBorder="1" applyAlignment="1">
      <alignment horizontal="left" vertical="top" wrapText="1"/>
    </xf>
    <xf numFmtId="0" fontId="72" fillId="0" borderId="4" xfId="0" applyFont="1" applyBorder="1" applyAlignment="1">
      <alignment horizontal="left" vertical="top" wrapText="1"/>
    </xf>
    <xf numFmtId="0" fontId="73" fillId="0" borderId="0" xfId="0" applyFont="1" applyAlignment="1">
      <alignment horizontal="left" vertical="center" wrapText="1"/>
    </xf>
    <xf numFmtId="0" fontId="76" fillId="0" borderId="4" xfId="0" applyFont="1" applyBorder="1" applyAlignment="1">
      <alignment horizontal="left" vertical="top" wrapText="1"/>
    </xf>
    <xf numFmtId="3" fontId="76" fillId="0" borderId="4" xfId="0" applyNumberFormat="1" applyFont="1" applyBorder="1" applyAlignment="1">
      <alignment horizontal="left" vertical="top" wrapText="1"/>
    </xf>
    <xf numFmtId="0" fontId="76" fillId="0" borderId="4" xfId="0" applyFont="1" applyBorder="1" applyAlignment="1">
      <alignment horizontal="left" vertical="top"/>
    </xf>
    <xf numFmtId="0" fontId="72" fillId="0" borderId="4" xfId="0" applyFont="1" applyBorder="1" applyAlignment="1">
      <alignment horizontal="left" vertical="top"/>
    </xf>
    <xf numFmtId="0" fontId="73" fillId="0" borderId="4" xfId="0" applyFont="1" applyBorder="1" applyAlignment="1">
      <alignment horizontal="left" vertical="top"/>
    </xf>
    <xf numFmtId="0" fontId="73" fillId="0" borderId="4" xfId="0" applyFont="1" applyBorder="1" applyAlignment="1">
      <alignment horizontal="center" vertical="top"/>
    </xf>
    <xf numFmtId="0" fontId="73" fillId="0" borderId="0" xfId="0" applyFont="1" applyAlignment="1">
      <alignment horizontal="left"/>
    </xf>
    <xf numFmtId="0" fontId="72" fillId="0" borderId="0" xfId="0" applyFont="1" applyAlignment="1">
      <alignment horizontal="left" vertical="top"/>
    </xf>
    <xf numFmtId="0" fontId="76" fillId="0" borderId="0" xfId="0" applyFont="1" applyAlignment="1">
      <alignment horizontal="left" vertical="top" wrapText="1"/>
    </xf>
    <xf numFmtId="0" fontId="76" fillId="0" borderId="0" xfId="0" applyFont="1" applyAlignment="1">
      <alignment horizontal="center" vertical="top"/>
    </xf>
    <xf numFmtId="0" fontId="21" fillId="0" borderId="0" xfId="0" applyFont="1" applyAlignment="1">
      <alignment horizontal="left" vertical="top"/>
    </xf>
    <xf numFmtId="0" fontId="21" fillId="0" borderId="0" xfId="0" applyFont="1" applyAlignment="1">
      <alignment horizontal="left" vertical="center"/>
    </xf>
    <xf numFmtId="0" fontId="17" fillId="2" borderId="0" xfId="0" applyFont="1" applyFill="1" applyAlignment="1">
      <alignment horizontal="center" vertical="top" wrapText="1"/>
    </xf>
    <xf numFmtId="0" fontId="17" fillId="2" borderId="0" xfId="0" applyFont="1" applyFill="1" applyAlignment="1">
      <alignment horizontal="left" vertical="top" wrapText="1"/>
    </xf>
    <xf numFmtId="0" fontId="17" fillId="2" borderId="0" xfId="0" applyFont="1" applyFill="1" applyAlignment="1">
      <alignment horizontal="center" vertical="center" wrapText="1"/>
    </xf>
    <xf numFmtId="165" fontId="77" fillId="0" borderId="1" xfId="0" applyNumberFormat="1" applyFont="1" applyBorder="1" applyAlignment="1">
      <alignment horizontal="right" wrapText="1"/>
    </xf>
    <xf numFmtId="0" fontId="77" fillId="0" borderId="0" xfId="0" applyFont="1" applyAlignment="1">
      <alignment wrapText="1"/>
    </xf>
    <xf numFmtId="165" fontId="77" fillId="0" borderId="1" xfId="0" applyNumberFormat="1" applyFont="1" applyBorder="1" applyAlignment="1">
      <alignment horizontal="center" vertical="top" wrapText="1"/>
    </xf>
    <xf numFmtId="0" fontId="77" fillId="0" borderId="0" xfId="0" applyFont="1" applyAlignment="1">
      <alignment horizontal="left" vertical="top" wrapText="1"/>
    </xf>
    <xf numFmtId="0" fontId="21" fillId="0" borderId="0" xfId="0" applyFont="1" applyAlignment="1">
      <alignment horizontal="center" vertical="top"/>
    </xf>
    <xf numFmtId="0" fontId="16" fillId="0" borderId="1" xfId="0" applyFont="1" applyBorder="1" applyAlignment="1">
      <alignment horizontal="center" vertical="top" wrapText="1"/>
    </xf>
    <xf numFmtId="0" fontId="21" fillId="0" borderId="1" xfId="0" applyFont="1" applyBorder="1" applyAlignment="1">
      <alignment horizontal="center" vertical="center"/>
    </xf>
    <xf numFmtId="0" fontId="17" fillId="0" borderId="4" xfId="0" applyFont="1" applyBorder="1" applyAlignment="1">
      <alignment horizontal="center" vertical="center" wrapText="1"/>
    </xf>
    <xf numFmtId="0" fontId="62" fillId="0" borderId="5" xfId="0" applyFont="1" applyBorder="1" applyAlignment="1">
      <alignment horizontal="left" vertical="center" wrapText="1"/>
    </xf>
    <xf numFmtId="0" fontId="62" fillId="0" borderId="6" xfId="0" applyFont="1" applyBorder="1" applyAlignment="1">
      <alignment horizontal="left" vertical="center" wrapText="1"/>
    </xf>
    <xf numFmtId="2" fontId="16" fillId="2" borderId="1" xfId="0" applyNumberFormat="1" applyFont="1" applyFill="1" applyBorder="1" applyAlignment="1">
      <alignment horizontal="center" vertical="center" wrapText="1"/>
    </xf>
    <xf numFmtId="0" fontId="21" fillId="2" borderId="1" xfId="0" applyFont="1" applyFill="1" applyBorder="1" applyAlignment="1">
      <alignment horizontal="center" vertical="center" wrapText="1"/>
    </xf>
    <xf numFmtId="4"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top"/>
    </xf>
    <xf numFmtId="0" fontId="11" fillId="0" borderId="1" xfId="0" applyFont="1" applyBorder="1" applyAlignment="1">
      <alignment horizontal="center" vertical="center"/>
    </xf>
    <xf numFmtId="3" fontId="77" fillId="0" borderId="1" xfId="0" applyNumberFormat="1" applyFont="1" applyBorder="1" applyAlignment="1">
      <alignment horizontal="right" wrapText="1"/>
    </xf>
    <xf numFmtId="0" fontId="17" fillId="0" borderId="1" xfId="0" applyFont="1" applyBorder="1" applyAlignment="1">
      <alignment vertical="top" wrapText="1"/>
    </xf>
    <xf numFmtId="165" fontId="78" fillId="0" borderId="1" xfId="0" applyNumberFormat="1" applyFont="1" applyBorder="1" applyAlignment="1">
      <alignment horizontal="right" wrapText="1"/>
    </xf>
    <xf numFmtId="0" fontId="77" fillId="0" borderId="1" xfId="0" applyFont="1" applyBorder="1" applyAlignment="1">
      <alignment vertical="top" wrapText="1"/>
    </xf>
    <xf numFmtId="0" fontId="77" fillId="0" borderId="1" xfId="0" applyFont="1" applyBorder="1" applyAlignment="1">
      <alignment wrapText="1"/>
    </xf>
    <xf numFmtId="4" fontId="77" fillId="0" borderId="1" xfId="0" applyNumberFormat="1" applyFont="1" applyBorder="1" applyAlignment="1">
      <alignment horizontal="right" wrapText="1"/>
    </xf>
    <xf numFmtId="4" fontId="16" fillId="0" borderId="1" xfId="0" applyNumberFormat="1" applyFont="1" applyBorder="1" applyAlignment="1">
      <alignment horizontal="right" wrapText="1"/>
    </xf>
    <xf numFmtId="165" fontId="16" fillId="0" borderId="1" xfId="0" applyNumberFormat="1" applyFont="1" applyBorder="1" applyAlignment="1">
      <alignment horizontal="right" wrapText="1"/>
    </xf>
    <xf numFmtId="0" fontId="17" fillId="5" borderId="1" xfId="0" applyFont="1" applyFill="1" applyBorder="1" applyAlignment="1">
      <alignment wrapText="1"/>
    </xf>
    <xf numFmtId="0" fontId="28" fillId="0" borderId="1" xfId="0" applyFont="1" applyBorder="1" applyAlignment="1">
      <alignment horizontal="left" vertical="center" wrapText="1"/>
    </xf>
    <xf numFmtId="0" fontId="0" fillId="0" borderId="7" xfId="0" applyBorder="1" applyAlignment="1">
      <alignment horizontal="left" vertical="center" wrapText="1"/>
    </xf>
    <xf numFmtId="0" fontId="0" fillId="0" borderId="10" xfId="0" applyBorder="1" applyAlignment="1">
      <alignment horizontal="left" vertical="center"/>
    </xf>
    <xf numFmtId="0" fontId="62" fillId="0" borderId="4" xfId="0" applyFont="1" applyBorder="1" applyAlignment="1">
      <alignment horizontal="left" vertical="center" wrapText="1"/>
    </xf>
    <xf numFmtId="0" fontId="62" fillId="0" borderId="8" xfId="0" applyFont="1" applyBorder="1" applyAlignment="1">
      <alignment horizontal="left" vertical="center" wrapText="1"/>
    </xf>
    <xf numFmtId="0" fontId="62" fillId="0" borderId="1" xfId="0" applyFont="1" applyBorder="1" applyAlignment="1">
      <alignment horizontal="left" vertical="center"/>
    </xf>
    <xf numFmtId="0" fontId="62" fillId="0" borderId="0" xfId="0" applyFont="1" applyAlignment="1">
      <alignment horizontal="left" vertical="center"/>
    </xf>
    <xf numFmtId="0" fontId="62" fillId="0" borderId="10" xfId="0" applyFont="1" applyBorder="1" applyAlignment="1">
      <alignment horizontal="left" vertical="center" wrapText="1"/>
    </xf>
    <xf numFmtId="0" fontId="11" fillId="0" borderId="13" xfId="0" applyFont="1" applyBorder="1" applyAlignment="1">
      <alignment horizontal="left" vertical="center"/>
    </xf>
    <xf numFmtId="0" fontId="11" fillId="10" borderId="1" xfId="0" applyFont="1" applyFill="1" applyBorder="1" applyAlignment="1">
      <alignment horizontal="center" vertical="center" wrapText="1"/>
    </xf>
    <xf numFmtId="0" fontId="10" fillId="0" borderId="8" xfId="0" applyFont="1" applyBorder="1" applyAlignment="1">
      <alignment vertical="center" wrapText="1"/>
    </xf>
    <xf numFmtId="0" fontId="10" fillId="0" borderId="7" xfId="0" applyFont="1" applyBorder="1" applyAlignment="1">
      <alignment vertical="center" wrapText="1"/>
    </xf>
    <xf numFmtId="0" fontId="14" fillId="10" borderId="1" xfId="0" applyFont="1" applyFill="1" applyBorder="1" applyAlignment="1">
      <alignment horizontal="center" vertical="center" wrapText="1"/>
    </xf>
    <xf numFmtId="0" fontId="0" fillId="10" borderId="1" xfId="0" applyFill="1" applyBorder="1" applyAlignment="1">
      <alignment horizontal="center" vertical="center"/>
    </xf>
    <xf numFmtId="0" fontId="16" fillId="10" borderId="1" xfId="0" applyFont="1" applyFill="1" applyBorder="1" applyAlignment="1">
      <alignment horizontal="center" vertical="center" wrapText="1"/>
    </xf>
    <xf numFmtId="0" fontId="10" fillId="0" borderId="13" xfId="0" applyFont="1" applyBorder="1" applyAlignment="1">
      <alignment horizontal="left" vertical="center" wrapText="1"/>
    </xf>
    <xf numFmtId="0" fontId="6" fillId="0" borderId="2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2" xfId="0" applyFont="1" applyBorder="1" applyAlignment="1">
      <alignment horizontal="center" vertical="center" wrapText="1"/>
    </xf>
    <xf numFmtId="2" fontId="0" fillId="10" borderId="3" xfId="0" applyNumberFormat="1" applyFill="1" applyBorder="1" applyAlignment="1">
      <alignment horizontal="center" vertical="center" wrapText="1"/>
    </xf>
    <xf numFmtId="0" fontId="0" fillId="0" borderId="7" xfId="0" applyBorder="1" applyAlignment="1">
      <alignment horizontal="center" vertical="center" wrapText="1"/>
    </xf>
    <xf numFmtId="2" fontId="0" fillId="0" borderId="7" xfId="0" applyNumberFormat="1" applyBorder="1" applyAlignment="1">
      <alignment horizontal="center" vertical="center" wrapText="1"/>
    </xf>
    <xf numFmtId="2" fontId="0" fillId="0" borderId="4" xfId="0" applyNumberFormat="1" applyBorder="1" applyAlignment="1">
      <alignment horizontal="center" vertical="center" wrapText="1"/>
    </xf>
    <xf numFmtId="0" fontId="0" fillId="0" borderId="16" xfId="0" applyBorder="1" applyAlignment="1">
      <alignment horizontal="center" vertical="center" wrapText="1"/>
    </xf>
    <xf numFmtId="0" fontId="17" fillId="0" borderId="7" xfId="0" applyFont="1"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2" fontId="0" fillId="0" borderId="15" xfId="0" applyNumberFormat="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14" fillId="10" borderId="39"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36"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10" fillId="10" borderId="4" xfId="0" applyFont="1" applyFill="1" applyBorder="1" applyAlignment="1">
      <alignment horizontal="left" vertical="center" wrapText="1"/>
    </xf>
    <xf numFmtId="2" fontId="16" fillId="10" borderId="19" xfId="0" applyNumberFormat="1" applyFont="1" applyFill="1" applyBorder="1" applyAlignment="1">
      <alignment horizontal="center" vertical="center" wrapText="1"/>
    </xf>
    <xf numFmtId="2" fontId="16" fillId="10" borderId="36" xfId="0" applyNumberFormat="1" applyFont="1" applyFill="1" applyBorder="1" applyAlignment="1">
      <alignment horizontal="center" vertical="center" wrapText="1"/>
    </xf>
    <xf numFmtId="3" fontId="11" fillId="10" borderId="19" xfId="0" applyNumberFormat="1" applyFont="1" applyFill="1" applyBorder="1" applyAlignment="1">
      <alignment horizontal="center" vertical="top"/>
    </xf>
    <xf numFmtId="3" fontId="11" fillId="10" borderId="36" xfId="0" applyNumberFormat="1" applyFont="1" applyFill="1" applyBorder="1" applyAlignment="1">
      <alignment horizontal="center" vertical="top"/>
    </xf>
    <xf numFmtId="0" fontId="0" fillId="10" borderId="8" xfId="0" applyFill="1" applyBorder="1" applyAlignment="1">
      <alignment horizontal="center" vertical="center" wrapText="1"/>
    </xf>
    <xf numFmtId="0" fontId="0" fillId="10" borderId="31" xfId="0" applyFill="1" applyBorder="1" applyAlignment="1">
      <alignment horizontal="center" vertical="center" wrapText="1"/>
    </xf>
    <xf numFmtId="0" fontId="11" fillId="10" borderId="45" xfId="0" applyFont="1" applyFill="1" applyBorder="1" applyAlignment="1">
      <alignment horizontal="center" vertical="center" wrapText="1"/>
    </xf>
    <xf numFmtId="0" fontId="21" fillId="10" borderId="45" xfId="0" applyFont="1" applyFill="1" applyBorder="1" applyAlignment="1">
      <alignment horizontal="center" vertical="center" wrapText="1"/>
    </xf>
    <xf numFmtId="0" fontId="21" fillId="10" borderId="14" xfId="0" applyFont="1" applyFill="1" applyBorder="1" applyAlignment="1">
      <alignment horizontal="center" vertical="center" wrapText="1"/>
    </xf>
    <xf numFmtId="0" fontId="16" fillId="10" borderId="45" xfId="0" applyFont="1" applyFill="1" applyBorder="1" applyAlignment="1">
      <alignment horizontal="center" vertical="center" wrapText="1"/>
    </xf>
    <xf numFmtId="0" fontId="16" fillId="10" borderId="14" xfId="0" applyFont="1" applyFill="1" applyBorder="1" applyAlignment="1">
      <alignment horizontal="center" vertical="center" wrapText="1"/>
    </xf>
    <xf numFmtId="0" fontId="12" fillId="10" borderId="8" xfId="0" applyFont="1" applyFill="1" applyBorder="1" applyAlignment="1">
      <alignment horizontal="center" vertical="center" wrapText="1"/>
    </xf>
    <xf numFmtId="0" fontId="11" fillId="0" borderId="19" xfId="0" applyFont="1" applyBorder="1" applyAlignment="1">
      <alignment horizontal="center" vertical="center" wrapText="1"/>
    </xf>
    <xf numFmtId="0" fontId="11" fillId="0" borderId="36" xfId="0" applyFont="1" applyBorder="1" applyAlignment="1">
      <alignment horizontal="center" vertical="center" wrapText="1"/>
    </xf>
    <xf numFmtId="3" fontId="11" fillId="0" borderId="19" xfId="0" applyNumberFormat="1" applyFont="1" applyBorder="1" applyAlignment="1">
      <alignment horizontal="center" vertical="top"/>
    </xf>
    <xf numFmtId="0" fontId="11" fillId="0" borderId="45"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42" xfId="0" applyFont="1" applyBorder="1" applyAlignment="1">
      <alignment horizontal="center" vertical="center"/>
    </xf>
    <xf numFmtId="0" fontId="16" fillId="0" borderId="45"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47" xfId="0" applyFont="1" applyBorder="1" applyAlignment="1">
      <alignment horizontal="center" vertical="center" wrapText="1"/>
    </xf>
    <xf numFmtId="0" fontId="16" fillId="0" borderId="49" xfId="0" applyFont="1" applyBorder="1" applyAlignment="1">
      <alignment horizontal="center" vertical="center" wrapText="1"/>
    </xf>
    <xf numFmtId="0" fontId="16" fillId="0" borderId="10" xfId="0" applyFont="1" applyBorder="1" applyAlignment="1">
      <alignment horizontal="center" vertical="center" wrapText="1"/>
    </xf>
    <xf numFmtId="0" fontId="17" fillId="10" borderId="1" xfId="0" applyFont="1" applyFill="1" applyBorder="1" applyAlignment="1">
      <alignment vertical="top" wrapText="1"/>
    </xf>
    <xf numFmtId="0" fontId="16" fillId="10" borderId="21" xfId="0" applyFont="1" applyFill="1" applyBorder="1" applyAlignment="1">
      <alignment horizontal="center" vertical="center" wrapText="1"/>
    </xf>
    <xf numFmtId="0" fontId="76" fillId="10" borderId="1" xfId="0" applyFont="1" applyFill="1" applyBorder="1" applyAlignment="1">
      <alignment vertical="top" wrapText="1"/>
    </xf>
    <xf numFmtId="0" fontId="76" fillId="10" borderId="1" xfId="0" applyFont="1" applyFill="1" applyBorder="1" applyAlignment="1">
      <alignment wrapText="1"/>
    </xf>
    <xf numFmtId="0" fontId="10" fillId="10" borderId="13" xfId="0" applyFont="1" applyFill="1" applyBorder="1" applyAlignment="1">
      <alignment horizontal="left" vertical="center" wrapText="1"/>
    </xf>
    <xf numFmtId="0" fontId="21" fillId="10" borderId="1" xfId="0" applyFont="1" applyFill="1" applyBorder="1" applyAlignment="1">
      <alignment horizontal="center" vertical="center" wrapText="1"/>
    </xf>
    <xf numFmtId="2" fontId="0" fillId="10" borderId="16" xfId="0" applyNumberFormat="1" applyFill="1" applyBorder="1" applyAlignment="1">
      <alignment horizontal="center" vertical="center" wrapText="1"/>
    </xf>
    <xf numFmtId="0" fontId="21" fillId="10" borderId="15" xfId="0" applyFont="1" applyFill="1" applyBorder="1" applyAlignment="1">
      <alignment horizontal="center" vertical="center" wrapText="1"/>
    </xf>
    <xf numFmtId="0" fontId="0" fillId="0" borderId="17" xfId="0" applyBorder="1" applyAlignment="1">
      <alignment horizontal="center" vertical="center" wrapText="1"/>
    </xf>
    <xf numFmtId="0" fontId="16" fillId="0" borderId="8" xfId="0" applyFont="1" applyBorder="1" applyAlignment="1">
      <alignment horizontal="center" vertical="center" wrapText="1"/>
    </xf>
    <xf numFmtId="0" fontId="0" fillId="0" borderId="24" xfId="0" applyBorder="1" applyAlignment="1">
      <alignment horizontal="center" vertical="center" wrapText="1"/>
    </xf>
    <xf numFmtId="0" fontId="11" fillId="0" borderId="26" xfId="0" applyFont="1" applyBorder="1" applyAlignment="1">
      <alignment horizontal="left" vertical="center"/>
    </xf>
    <xf numFmtId="0" fontId="11" fillId="0" borderId="23" xfId="0" applyFont="1" applyBorder="1" applyAlignment="1">
      <alignment horizontal="left" vertical="center"/>
    </xf>
    <xf numFmtId="0" fontId="11" fillId="0" borderId="27" xfId="0" applyFont="1" applyBorder="1" applyAlignment="1">
      <alignment horizontal="left" vertical="center"/>
    </xf>
    <xf numFmtId="2" fontId="0" fillId="0" borderId="0" xfId="0" applyNumberFormat="1" applyAlignment="1">
      <alignment horizontal="center" vertical="center" wrapText="1"/>
    </xf>
    <xf numFmtId="2" fontId="0" fillId="0" borderId="1" xfId="0" applyNumberFormat="1" applyBorder="1" applyAlignment="1">
      <alignment horizontal="center"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2" fontId="0" fillId="10" borderId="1" xfId="0" applyNumberFormat="1" applyFill="1" applyBorder="1" applyAlignment="1">
      <alignment horizontal="center" vertical="center" wrapText="1"/>
    </xf>
    <xf numFmtId="0" fontId="0" fillId="0" borderId="18" xfId="0" applyBorder="1" applyAlignment="1">
      <alignment horizontal="left" vertical="center" wrapText="1"/>
    </xf>
    <xf numFmtId="2" fontId="0" fillId="0" borderId="16" xfId="0" applyNumberFormat="1" applyBorder="1" applyAlignment="1">
      <alignment horizontal="center" vertical="center" wrapText="1"/>
    </xf>
    <xf numFmtId="0" fontId="0" fillId="0" borderId="9" xfId="0" applyBorder="1" applyAlignment="1">
      <alignment horizontal="left" vertical="center" wrapText="1"/>
    </xf>
    <xf numFmtId="0" fontId="14" fillId="10" borderId="49" xfId="0" applyFont="1" applyFill="1" applyBorder="1" applyAlignment="1">
      <alignment horizontal="center" vertical="center" wrapText="1"/>
    </xf>
    <xf numFmtId="0" fontId="21" fillId="0" borderId="15" xfId="0" applyFont="1" applyBorder="1" applyAlignment="1">
      <alignment horizontal="left" vertical="center"/>
    </xf>
    <xf numFmtId="0" fontId="21" fillId="0" borderId="15" xfId="0" applyFont="1" applyBorder="1" applyAlignment="1">
      <alignment horizontal="left" vertical="top"/>
    </xf>
    <xf numFmtId="0" fontId="14" fillId="0" borderId="49" xfId="0" applyFont="1" applyBorder="1" applyAlignment="1">
      <alignment horizontal="center" vertical="center" wrapText="1"/>
    </xf>
    <xf numFmtId="0" fontId="14" fillId="0" borderId="41" xfId="0" applyFont="1" applyBorder="1" applyAlignment="1">
      <alignment horizontal="center" vertical="center" wrapText="1"/>
    </xf>
    <xf numFmtId="1" fontId="9" fillId="10" borderId="5" xfId="0" applyNumberFormat="1" applyFont="1" applyFill="1" applyBorder="1" applyAlignment="1">
      <alignment vertical="center" shrinkToFit="1"/>
    </xf>
    <xf numFmtId="0" fontId="10" fillId="10" borderId="5" xfId="0" applyFont="1" applyFill="1" applyBorder="1" applyAlignment="1">
      <alignment vertical="center" wrapText="1"/>
    </xf>
    <xf numFmtId="2" fontId="16" fillId="10" borderId="8" xfId="0" applyNumberFormat="1" applyFont="1" applyFill="1" applyBorder="1" applyAlignment="1">
      <alignment horizontal="center" vertical="center" wrapText="1"/>
    </xf>
    <xf numFmtId="1" fontId="9" fillId="10" borderId="2" xfId="0" applyNumberFormat="1" applyFont="1" applyFill="1" applyBorder="1" applyAlignment="1">
      <alignment vertical="center" shrinkToFit="1"/>
    </xf>
    <xf numFmtId="0" fontId="10" fillId="10" borderId="2" xfId="0" applyFont="1" applyFill="1" applyBorder="1" applyAlignment="1">
      <alignment vertical="center" wrapText="1"/>
    </xf>
    <xf numFmtId="0" fontId="10" fillId="10" borderId="3" xfId="0" applyFont="1" applyFill="1" applyBorder="1" applyAlignment="1">
      <alignment vertical="center" wrapText="1"/>
    </xf>
    <xf numFmtId="2" fontId="16" fillId="10" borderId="45" xfId="0" applyNumberFormat="1" applyFont="1" applyFill="1" applyBorder="1" applyAlignment="1">
      <alignment horizontal="center" vertical="center" wrapText="1"/>
    </xf>
    <xf numFmtId="1" fontId="9" fillId="10" borderId="3" xfId="0" applyNumberFormat="1" applyFont="1" applyFill="1" applyBorder="1" applyAlignment="1">
      <alignment vertical="center" shrinkToFit="1"/>
    </xf>
    <xf numFmtId="0" fontId="16" fillId="10" borderId="42" xfId="0" applyFont="1" applyFill="1" applyBorder="1" applyAlignment="1">
      <alignment horizontal="center" vertical="center" wrapText="1"/>
    </xf>
    <xf numFmtId="0" fontId="11" fillId="0" borderId="41" xfId="0" applyFont="1" applyBorder="1" applyAlignment="1">
      <alignment horizontal="center" vertical="center" wrapText="1"/>
    </xf>
    <xf numFmtId="0" fontId="11" fillId="0" borderId="47" xfId="0" applyFont="1" applyBorder="1" applyAlignment="1">
      <alignment horizontal="center" vertical="center" wrapText="1"/>
    </xf>
    <xf numFmtId="0" fontId="11" fillId="0" borderId="49" xfId="0" applyFont="1" applyBorder="1" applyAlignment="1">
      <alignment horizontal="center" vertical="center" wrapText="1"/>
    </xf>
    <xf numFmtId="0" fontId="16" fillId="10" borderId="13" xfId="0" applyFont="1" applyFill="1" applyBorder="1" applyAlignment="1">
      <alignment horizontal="center" vertical="center" wrapText="1"/>
    </xf>
    <xf numFmtId="0" fontId="0" fillId="0" borderId="13" xfId="0" applyBorder="1" applyAlignment="1">
      <alignment horizontal="center" vertical="center" wrapText="1"/>
    </xf>
    <xf numFmtId="2" fontId="0" fillId="0" borderId="17" xfId="0" applyNumberFormat="1" applyBorder="1" applyAlignment="1">
      <alignment horizontal="center" vertical="center" wrapText="1"/>
    </xf>
    <xf numFmtId="0" fontId="0" fillId="0" borderId="49" xfId="0" applyBorder="1" applyAlignment="1">
      <alignment horizontal="center" vertical="center" wrapText="1"/>
    </xf>
    <xf numFmtId="0" fontId="21" fillId="0" borderId="15" xfId="0" applyFont="1" applyBorder="1" applyAlignment="1">
      <alignment vertical="center"/>
    </xf>
    <xf numFmtId="0" fontId="10" fillId="10" borderId="8" xfId="0" applyFont="1" applyFill="1" applyBorder="1" applyAlignment="1">
      <alignment vertical="center" wrapText="1"/>
    </xf>
    <xf numFmtId="0" fontId="10" fillId="10" borderId="7" xfId="0" applyFont="1" applyFill="1" applyBorder="1" applyAlignment="1">
      <alignment vertical="center" wrapText="1"/>
    </xf>
    <xf numFmtId="0" fontId="0" fillId="0" borderId="22" xfId="0" applyBorder="1" applyAlignment="1">
      <alignment horizontal="left" vertical="center"/>
    </xf>
    <xf numFmtId="0" fontId="0" fillId="0" borderId="15" xfId="0" applyBorder="1" applyAlignment="1">
      <alignment horizontal="left" vertical="center"/>
    </xf>
    <xf numFmtId="0" fontId="10" fillId="0" borderId="31" xfId="0" applyFont="1" applyBorder="1" applyAlignment="1">
      <alignment vertical="center" wrapText="1"/>
    </xf>
    <xf numFmtId="0" fontId="0" fillId="0" borderId="19" xfId="0" applyBorder="1" applyAlignment="1">
      <alignment horizontal="center" vertical="center" wrapText="1"/>
    </xf>
    <xf numFmtId="0" fontId="11" fillId="0" borderId="26" xfId="0" applyFont="1" applyBorder="1" applyAlignment="1">
      <alignment vertical="center"/>
    </xf>
    <xf numFmtId="0" fontId="11" fillId="0" borderId="23" xfId="0" applyFont="1" applyBorder="1" applyAlignment="1">
      <alignment vertical="center"/>
    </xf>
    <xf numFmtId="0" fontId="11" fillId="0" borderId="27" xfId="0" applyFont="1" applyBorder="1" applyAlignment="1">
      <alignment vertical="center"/>
    </xf>
    <xf numFmtId="0" fontId="11" fillId="0" borderId="15" xfId="0" applyFont="1" applyBorder="1" applyAlignment="1">
      <alignment horizontal="left" vertical="center"/>
    </xf>
    <xf numFmtId="2" fontId="11" fillId="0" borderId="1" xfId="0" applyNumberFormat="1" applyFont="1" applyBorder="1" applyAlignment="1">
      <alignment horizontal="center" vertical="center"/>
    </xf>
    <xf numFmtId="2" fontId="12" fillId="0" borderId="16"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0" fontId="11" fillId="0" borderId="15" xfId="0" applyFont="1" applyBorder="1" applyAlignment="1">
      <alignment horizontal="left" vertical="top"/>
    </xf>
    <xf numFmtId="0" fontId="0" fillId="0" borderId="0" xfId="0" applyAlignment="1">
      <alignment horizontal="center" vertical="top"/>
    </xf>
    <xf numFmtId="0" fontId="11" fillId="0" borderId="1" xfId="0" applyFont="1" applyBorder="1" applyAlignment="1">
      <alignment vertical="center"/>
    </xf>
    <xf numFmtId="0" fontId="10" fillId="0" borderId="1" xfId="0" applyFont="1" applyBorder="1" applyAlignment="1">
      <alignment vertical="center" wrapText="1"/>
    </xf>
    <xf numFmtId="0" fontId="21" fillId="0" borderId="13" xfId="0" applyFont="1" applyBorder="1" applyAlignment="1">
      <alignment horizontal="center" vertical="center" wrapText="1"/>
    </xf>
    <xf numFmtId="0" fontId="17" fillId="10" borderId="1" xfId="0" applyFont="1" applyFill="1" applyBorder="1" applyAlignment="1">
      <alignment wrapText="1"/>
    </xf>
    <xf numFmtId="0" fontId="0" fillId="10" borderId="4" xfId="0" applyFill="1" applyBorder="1" applyAlignment="1">
      <alignment horizontal="center" vertical="center" wrapText="1"/>
    </xf>
    <xf numFmtId="0" fontId="8" fillId="0" borderId="1" xfId="0" applyFont="1" applyBorder="1" applyAlignment="1">
      <alignment horizontal="center" vertical="top" wrapText="1"/>
    </xf>
    <xf numFmtId="0" fontId="16" fillId="0" borderId="1" xfId="0" applyFont="1" applyBorder="1" applyAlignment="1">
      <alignment horizontal="center" vertical="top" wrapText="1"/>
    </xf>
    <xf numFmtId="0" fontId="1" fillId="0" borderId="35" xfId="0" applyFont="1" applyBorder="1" applyAlignment="1">
      <alignment horizontal="center" vertical="top" wrapText="1"/>
    </xf>
    <xf numFmtId="0" fontId="1" fillId="0" borderId="0" xfId="0" applyFont="1" applyAlignment="1">
      <alignment horizontal="center" vertical="top" wrapText="1"/>
    </xf>
    <xf numFmtId="0" fontId="5" fillId="0" borderId="35" xfId="0" applyFont="1" applyBorder="1" applyAlignment="1">
      <alignment horizontal="center" vertical="top" wrapText="1"/>
    </xf>
    <xf numFmtId="0" fontId="4" fillId="0" borderId="0" xfId="0" applyFont="1" applyAlignment="1">
      <alignment horizontal="center" vertical="top" wrapText="1"/>
    </xf>
    <xf numFmtId="0" fontId="6" fillId="0" borderId="26" xfId="0" applyFont="1" applyBorder="1" applyAlignment="1">
      <alignment horizontal="center" vertical="top" wrapText="1"/>
    </xf>
    <xf numFmtId="0" fontId="6" fillId="0" borderId="23" xfId="0" applyFont="1" applyBorder="1" applyAlignment="1">
      <alignment horizontal="center" vertical="top" wrapText="1"/>
    </xf>
    <xf numFmtId="0" fontId="16" fillId="0" borderId="1" xfId="0" applyFont="1" applyBorder="1" applyAlignment="1">
      <alignment horizontal="center" vertical="center" wrapText="1"/>
    </xf>
    <xf numFmtId="0" fontId="6" fillId="0" borderId="1" xfId="0" applyFont="1" applyBorder="1" applyAlignment="1">
      <alignment horizontal="center" wrapText="1"/>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1" fontId="11" fillId="0" borderId="1" xfId="0" applyNumberFormat="1" applyFont="1" applyBorder="1" applyAlignment="1">
      <alignment horizontal="left" vertical="center" shrinkToFit="1"/>
    </xf>
    <xf numFmtId="0" fontId="10"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6" fillId="10" borderId="1" xfId="0" applyFont="1" applyFill="1" applyBorder="1" applyAlignment="1">
      <alignment horizontal="center" vertical="center" wrapText="1"/>
    </xf>
    <xf numFmtId="1" fontId="11" fillId="0" borderId="1" xfId="0" applyNumberFormat="1" applyFont="1" applyBorder="1" applyAlignment="1">
      <alignment horizontal="center" vertical="center" shrinkToFit="1"/>
    </xf>
    <xf numFmtId="0" fontId="66" fillId="0" borderId="1" xfId="0" applyFont="1" applyBorder="1" applyAlignment="1">
      <alignment horizontal="center" vertical="top"/>
    </xf>
    <xf numFmtId="0" fontId="21" fillId="0" borderId="1" xfId="0" applyFont="1" applyBorder="1" applyAlignment="1">
      <alignment horizontal="left" vertical="center" wrapText="1"/>
    </xf>
    <xf numFmtId="0" fontId="8" fillId="0" borderId="13" xfId="0" applyFont="1" applyBorder="1" applyAlignment="1">
      <alignment horizontal="center" vertical="top"/>
    </xf>
    <xf numFmtId="0" fontId="8" fillId="0" borderId="14" xfId="0" applyFont="1" applyBorder="1" applyAlignment="1">
      <alignment horizontal="center" vertical="top"/>
    </xf>
    <xf numFmtId="0" fontId="8" fillId="0" borderId="15" xfId="0" applyFont="1" applyBorder="1" applyAlignment="1">
      <alignment horizontal="center" vertical="top"/>
    </xf>
    <xf numFmtId="0" fontId="11" fillId="0" borderId="1" xfId="0" applyFont="1" applyBorder="1" applyAlignment="1">
      <alignment horizontal="left" vertical="center"/>
    </xf>
    <xf numFmtId="0" fontId="6" fillId="0" borderId="13" xfId="0" applyFont="1" applyBorder="1" applyAlignment="1">
      <alignment horizontal="left" wrapText="1"/>
    </xf>
    <xf numFmtId="0" fontId="6" fillId="0" borderId="14" xfId="0" applyFont="1" applyBorder="1" applyAlignment="1">
      <alignment horizontal="left" wrapText="1"/>
    </xf>
    <xf numFmtId="0" fontId="6" fillId="0" borderId="15" xfId="0" applyFont="1" applyBorder="1" applyAlignment="1">
      <alignment horizontal="left" wrapText="1"/>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8" fillId="0" borderId="12" xfId="0" applyFont="1" applyBorder="1" applyAlignment="1">
      <alignment horizontal="center" vertical="top" wrapText="1"/>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11" fillId="0" borderId="26" xfId="0" applyFont="1" applyBorder="1" applyAlignment="1">
      <alignment horizontal="left" vertical="center"/>
    </xf>
    <xf numFmtId="0" fontId="11" fillId="0" borderId="23" xfId="0" applyFont="1" applyBorder="1" applyAlignment="1">
      <alignment horizontal="left" vertical="center"/>
    </xf>
    <xf numFmtId="0" fontId="11" fillId="0" borderId="27" xfId="0" applyFont="1" applyBorder="1" applyAlignment="1">
      <alignment horizontal="left" vertical="center"/>
    </xf>
    <xf numFmtId="0" fontId="0" fillId="0" borderId="8" xfId="0" applyBorder="1" applyAlignment="1">
      <alignment horizontal="center" vertical="center" wrapText="1"/>
    </xf>
    <xf numFmtId="0" fontId="0" fillId="0" borderId="31" xfId="0" applyBorder="1" applyAlignment="1">
      <alignment horizontal="center" vertical="center" wrapText="1"/>
    </xf>
    <xf numFmtId="0" fontId="0" fillId="0" borderId="7" xfId="0" applyBorder="1" applyAlignment="1">
      <alignment horizontal="center" vertical="center" wrapText="1"/>
    </xf>
    <xf numFmtId="0" fontId="21" fillId="0" borderId="15" xfId="0" applyFont="1" applyBorder="1" applyAlignment="1">
      <alignment horizontal="center" vertical="center"/>
    </xf>
    <xf numFmtId="0" fontId="10" fillId="0" borderId="31" xfId="0" applyFont="1" applyBorder="1" applyAlignment="1">
      <alignment horizontal="left" vertical="center" wrapText="1"/>
    </xf>
    <xf numFmtId="0" fontId="10" fillId="0" borderId="7" xfId="0" applyFont="1" applyBorder="1" applyAlignment="1">
      <alignment horizontal="left" vertical="center" wrapText="1"/>
    </xf>
    <xf numFmtId="0" fontId="0" fillId="0" borderId="24" xfId="0" applyBorder="1" applyAlignment="1">
      <alignment horizontal="center" vertical="center" wrapText="1"/>
    </xf>
    <xf numFmtId="0" fontId="0" fillId="0" borderId="9" xfId="0" applyBorder="1" applyAlignment="1">
      <alignment horizontal="center" vertical="center" wrapText="1"/>
    </xf>
    <xf numFmtId="1" fontId="9" fillId="0" borderId="5" xfId="0" applyNumberFormat="1" applyFont="1" applyBorder="1" applyAlignment="1">
      <alignment horizontal="center" vertical="center" shrinkToFit="1"/>
    </xf>
    <xf numFmtId="1" fontId="9" fillId="0" borderId="3" xfId="0" applyNumberFormat="1" applyFont="1" applyBorder="1" applyAlignment="1">
      <alignment horizontal="center" vertical="center" shrinkToFi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16" fillId="0" borderId="8"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7" xfId="0" applyFont="1" applyBorder="1" applyAlignment="1">
      <alignment horizontal="center" vertical="center" wrapText="1"/>
    </xf>
    <xf numFmtId="0" fontId="10" fillId="0" borderId="8" xfId="0" applyFont="1" applyBorder="1" applyAlignment="1">
      <alignment horizontal="left" vertical="center" wrapText="1"/>
    </xf>
    <xf numFmtId="0" fontId="0" fillId="0" borderId="1" xfId="0" applyBorder="1" applyAlignment="1">
      <alignment horizontal="center" vertical="center" wrapText="1"/>
    </xf>
    <xf numFmtId="0" fontId="16" fillId="0" borderId="6"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40"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9"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2" xfId="0" applyFont="1" applyBorder="1" applyAlignment="1">
      <alignment horizontal="center" vertical="center" wrapText="1"/>
    </xf>
    <xf numFmtId="0" fontId="10" fillId="0" borderId="3" xfId="0" applyFont="1" applyBorder="1" applyAlignment="1">
      <alignment horizontal="center" vertical="center" wrapText="1"/>
    </xf>
    <xf numFmtId="1" fontId="9" fillId="0" borderId="10" xfId="0" applyNumberFormat="1" applyFont="1" applyBorder="1" applyAlignment="1">
      <alignment horizontal="center" vertical="center" shrinkToFit="1"/>
    </xf>
    <xf numFmtId="1" fontId="9" fillId="0" borderId="11" xfId="0" applyNumberFormat="1" applyFont="1" applyBorder="1" applyAlignment="1">
      <alignment horizontal="center" vertical="center" shrinkToFit="1"/>
    </xf>
    <xf numFmtId="1" fontId="9" fillId="0" borderId="55" xfId="0" applyNumberFormat="1" applyFont="1" applyBorder="1" applyAlignment="1">
      <alignment horizontal="center" vertical="center" shrinkToFit="1"/>
    </xf>
    <xf numFmtId="0" fontId="10" fillId="0" borderId="53"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56" xfId="0" applyFont="1" applyBorder="1" applyAlignment="1">
      <alignment horizontal="center" vertical="center" wrapText="1"/>
    </xf>
    <xf numFmtId="0" fontId="0" fillId="10" borderId="8" xfId="0" applyFill="1" applyBorder="1" applyAlignment="1">
      <alignment horizontal="center" vertical="center" wrapText="1"/>
    </xf>
    <xf numFmtId="0" fontId="0" fillId="10" borderId="31" xfId="0" applyFill="1" applyBorder="1" applyAlignment="1">
      <alignment horizontal="center" vertical="center" wrapText="1"/>
    </xf>
    <xf numFmtId="0" fontId="0" fillId="10" borderId="7" xfId="0" applyFill="1" applyBorder="1" applyAlignment="1">
      <alignment horizontal="center" vertical="center" wrapText="1"/>
    </xf>
    <xf numFmtId="0" fontId="10" fillId="10" borderId="8" xfId="0" applyFont="1" applyFill="1" applyBorder="1" applyAlignment="1">
      <alignment horizontal="center" vertical="center" wrapText="1"/>
    </xf>
    <xf numFmtId="0" fontId="10" fillId="10" borderId="7" xfId="0" applyFont="1" applyFill="1" applyBorder="1" applyAlignment="1">
      <alignment horizontal="center" vertical="center" wrapText="1"/>
    </xf>
    <xf numFmtId="1" fontId="9" fillId="10" borderId="5" xfId="0" applyNumberFormat="1" applyFont="1" applyFill="1" applyBorder="1" applyAlignment="1">
      <alignment horizontal="center" vertical="center" shrinkToFit="1"/>
    </xf>
    <xf numFmtId="1" fontId="9" fillId="10" borderId="3" xfId="0" applyNumberFormat="1" applyFont="1" applyFill="1" applyBorder="1" applyAlignment="1">
      <alignment horizontal="center" vertical="center" shrinkToFit="1"/>
    </xf>
    <xf numFmtId="0" fontId="10" fillId="10" borderId="5"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1" fontId="9" fillId="0" borderId="52" xfId="0" applyNumberFormat="1" applyFont="1" applyBorder="1" applyAlignment="1">
      <alignment horizontal="center" vertical="center" shrinkToFit="1"/>
    </xf>
    <xf numFmtId="0" fontId="21" fillId="0" borderId="15" xfId="0" applyFont="1" applyBorder="1" applyAlignment="1">
      <alignment horizontal="center" vertical="center" wrapText="1"/>
    </xf>
    <xf numFmtId="0" fontId="21" fillId="10" borderId="13" xfId="0" applyFont="1" applyFill="1" applyBorder="1" applyAlignment="1">
      <alignment horizontal="center" vertical="center" wrapText="1"/>
    </xf>
    <xf numFmtId="0" fontId="21" fillId="10" borderId="14"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21" fillId="10" borderId="1" xfId="0" applyFont="1" applyFill="1" applyBorder="1" applyAlignment="1">
      <alignment horizontal="center" vertical="center" wrapText="1"/>
    </xf>
    <xf numFmtId="1" fontId="9" fillId="0" borderId="2" xfId="0" applyNumberFormat="1" applyFont="1" applyBorder="1" applyAlignment="1">
      <alignment horizontal="center" vertical="center" shrinkToFit="1"/>
    </xf>
    <xf numFmtId="0" fontId="10" fillId="0" borderId="5"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10" borderId="1" xfId="0" applyFont="1" applyFill="1" applyBorder="1" applyAlignment="1">
      <alignment horizontal="center" vertical="center" wrapText="1"/>
    </xf>
    <xf numFmtId="1" fontId="11" fillId="10" borderId="1" xfId="0" applyNumberFormat="1" applyFont="1" applyFill="1" applyBorder="1" applyAlignment="1">
      <alignment horizontal="left" vertical="center" shrinkToFit="1"/>
    </xf>
    <xf numFmtId="0" fontId="10" fillId="10" borderId="1" xfId="0" applyFont="1" applyFill="1" applyBorder="1" applyAlignment="1">
      <alignment horizontal="left" vertical="center" wrapText="1"/>
    </xf>
    <xf numFmtId="0" fontId="16" fillId="10" borderId="21" xfId="0" applyFont="1" applyFill="1" applyBorder="1" applyAlignment="1">
      <alignment horizontal="center" vertical="center" wrapText="1"/>
    </xf>
    <xf numFmtId="0" fontId="16" fillId="10" borderId="37" xfId="0" applyFont="1" applyFill="1" applyBorder="1" applyAlignment="1">
      <alignment horizontal="center" vertical="center" wrapText="1"/>
    </xf>
    <xf numFmtId="1" fontId="11" fillId="10" borderId="1" xfId="0" applyNumberFormat="1" applyFont="1" applyFill="1" applyBorder="1" applyAlignment="1">
      <alignment horizontal="center" vertical="center" shrinkToFit="1"/>
    </xf>
    <xf numFmtId="0" fontId="16" fillId="0" borderId="49"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36" xfId="0" applyFont="1" applyBorder="1" applyAlignment="1">
      <alignment horizontal="center" vertical="center" wrapText="1"/>
    </xf>
    <xf numFmtId="0" fontId="16" fillId="0" borderId="51"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20" xfId="0" applyFont="1" applyBorder="1" applyAlignment="1">
      <alignment horizontal="center" vertical="center" wrapText="1"/>
    </xf>
    <xf numFmtId="0" fontId="16" fillId="0" borderId="45"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47"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8" xfId="0" applyFont="1" applyBorder="1" applyAlignment="1">
      <alignment horizontal="center" vertical="center" wrapText="1"/>
    </xf>
    <xf numFmtId="0" fontId="11" fillId="0" borderId="45"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46" xfId="0" applyFont="1" applyBorder="1" applyAlignment="1">
      <alignment horizontal="center" vertical="center" wrapText="1"/>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0" fontId="16" fillId="10" borderId="45" xfId="0" applyFont="1" applyFill="1" applyBorder="1" applyAlignment="1">
      <alignment horizontal="center" vertical="center" wrapText="1"/>
    </xf>
    <xf numFmtId="0" fontId="16" fillId="10" borderId="14" xfId="0" applyFont="1" applyFill="1" applyBorder="1" applyAlignment="1">
      <alignment horizontal="center" vertical="center" wrapText="1"/>
    </xf>
    <xf numFmtId="0" fontId="16" fillId="10" borderId="46" xfId="0" applyFont="1" applyFill="1" applyBorder="1" applyAlignment="1">
      <alignment horizontal="center" vertical="center" wrapText="1"/>
    </xf>
    <xf numFmtId="0" fontId="10" fillId="0" borderId="2" xfId="0" applyFont="1" applyBorder="1" applyAlignment="1">
      <alignment horizontal="center" vertical="center" wrapText="1"/>
    </xf>
    <xf numFmtId="3" fontId="11" fillId="0" borderId="19" xfId="0" applyNumberFormat="1" applyFont="1" applyBorder="1" applyAlignment="1">
      <alignment horizontal="center" vertical="top"/>
    </xf>
    <xf numFmtId="3" fontId="11" fillId="0" borderId="36" xfId="0" applyNumberFormat="1" applyFont="1" applyBorder="1" applyAlignment="1">
      <alignment horizontal="center" vertical="top"/>
    </xf>
    <xf numFmtId="3" fontId="11" fillId="0" borderId="20" xfId="0" applyNumberFormat="1" applyFont="1" applyBorder="1" applyAlignment="1">
      <alignment horizontal="center" vertical="top"/>
    </xf>
    <xf numFmtId="0" fontId="11" fillId="10" borderId="45"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2" fillId="10" borderId="8" xfId="0" applyFont="1" applyFill="1" applyBorder="1" applyAlignment="1">
      <alignment horizontal="center" vertical="center" wrapText="1"/>
    </xf>
    <xf numFmtId="0" fontId="12" fillId="10" borderId="31" xfId="0" applyFont="1" applyFill="1" applyBorder="1" applyAlignment="1">
      <alignment horizontal="center" vertical="center" wrapText="1"/>
    </xf>
    <xf numFmtId="0" fontId="12" fillId="10" borderId="7" xfId="0" applyFont="1" applyFill="1" applyBorder="1" applyAlignment="1">
      <alignment horizontal="center" vertical="center" wrapText="1"/>
    </xf>
    <xf numFmtId="0" fontId="21" fillId="10" borderId="45" xfId="0" applyFont="1" applyFill="1" applyBorder="1" applyAlignment="1">
      <alignment horizontal="center" vertical="center" wrapText="1"/>
    </xf>
    <xf numFmtId="0" fontId="21" fillId="10" borderId="46" xfId="0" applyFont="1" applyFill="1" applyBorder="1" applyAlignment="1">
      <alignment horizontal="center" vertical="center" wrapText="1"/>
    </xf>
    <xf numFmtId="1" fontId="9" fillId="10" borderId="2" xfId="0" applyNumberFormat="1" applyFont="1" applyFill="1" applyBorder="1" applyAlignment="1">
      <alignment horizontal="center" vertical="center" shrinkToFit="1"/>
    </xf>
    <xf numFmtId="0" fontId="10" fillId="10" borderId="2" xfId="0" applyFont="1" applyFill="1" applyBorder="1" applyAlignment="1">
      <alignment horizontal="center" vertical="center" wrapText="1"/>
    </xf>
    <xf numFmtId="2" fontId="16" fillId="10" borderId="19" xfId="0" applyNumberFormat="1" applyFont="1" applyFill="1" applyBorder="1" applyAlignment="1">
      <alignment horizontal="center" vertical="center" wrapText="1"/>
    </xf>
    <xf numFmtId="2" fontId="16" fillId="10" borderId="36" xfId="0" applyNumberFormat="1" applyFont="1" applyFill="1" applyBorder="1" applyAlignment="1">
      <alignment horizontal="center" vertical="center" wrapText="1"/>
    </xf>
    <xf numFmtId="2" fontId="16" fillId="10" borderId="20" xfId="0" applyNumberFormat="1" applyFont="1" applyFill="1" applyBorder="1" applyAlignment="1">
      <alignment horizontal="center" vertical="center" wrapText="1"/>
    </xf>
    <xf numFmtId="3" fontId="11" fillId="10" borderId="19" xfId="0" applyNumberFormat="1" applyFont="1" applyFill="1" applyBorder="1" applyAlignment="1">
      <alignment horizontal="center" vertical="top"/>
    </xf>
    <xf numFmtId="3" fontId="11" fillId="10" borderId="36" xfId="0" applyNumberFormat="1" applyFont="1" applyFill="1" applyBorder="1" applyAlignment="1">
      <alignment horizontal="center" vertical="top"/>
    </xf>
    <xf numFmtId="3" fontId="11" fillId="10" borderId="20" xfId="0" applyNumberFormat="1" applyFont="1" applyFill="1" applyBorder="1" applyAlignment="1">
      <alignment horizontal="center" vertical="top"/>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17" fillId="0" borderId="9" xfId="0" applyFont="1" applyBorder="1" applyAlignment="1">
      <alignment horizontal="center" vertical="center" wrapText="1"/>
    </xf>
    <xf numFmtId="0" fontId="0" fillId="0" borderId="30" xfId="0" applyBorder="1" applyAlignment="1">
      <alignment horizontal="center" vertical="center" wrapText="1"/>
    </xf>
    <xf numFmtId="0" fontId="16" fillId="0" borderId="15"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40" xfId="0" applyFont="1" applyBorder="1" applyAlignment="1">
      <alignment horizontal="center" vertical="center" wrapText="1"/>
    </xf>
    <xf numFmtId="0" fontId="11" fillId="2" borderId="35"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28"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4" fillId="10" borderId="39"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4" fillId="10" borderId="40"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2" xfId="0" applyFont="1" applyBorder="1" applyAlignment="1">
      <alignment horizontal="center" vertical="center" wrapText="1"/>
    </xf>
    <xf numFmtId="1" fontId="9" fillId="0" borderId="38" xfId="0" applyNumberFormat="1" applyFont="1" applyBorder="1" applyAlignment="1">
      <alignment horizontal="center" vertical="center" shrinkToFit="1"/>
    </xf>
    <xf numFmtId="0" fontId="10" fillId="0" borderId="38" xfId="0" applyFont="1" applyBorder="1" applyAlignment="1">
      <alignment horizontal="center" vertical="center" wrapText="1"/>
    </xf>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5"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right" vertical="top" wrapText="1"/>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6" fillId="0" borderId="15" xfId="0" applyFont="1" applyBorder="1" applyAlignment="1">
      <alignment horizontal="center" vertical="top" wrapText="1"/>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0" xfId="0" applyFont="1" applyAlignment="1">
      <alignment horizontal="center" vertical="center" wrapText="1"/>
    </xf>
    <xf numFmtId="0" fontId="6" fillId="0" borderId="28"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7" xfId="0" applyFont="1" applyBorder="1" applyAlignment="1">
      <alignment horizontal="center" vertical="center" wrapText="1"/>
    </xf>
    <xf numFmtId="0" fontId="8" fillId="0" borderId="13"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2" fontId="0" fillId="0" borderId="10" xfId="0" applyNumberFormat="1" applyBorder="1" applyAlignment="1">
      <alignment horizontal="center" vertical="center" wrapText="1"/>
    </xf>
    <xf numFmtId="2" fontId="0" fillId="0" borderId="11" xfId="0" applyNumberFormat="1" applyBorder="1" applyAlignment="1">
      <alignment horizontal="center" vertical="center" wrapText="1"/>
    </xf>
    <xf numFmtId="2" fontId="0" fillId="0" borderId="12" xfId="0" applyNumberFormat="1" applyBorder="1" applyAlignment="1">
      <alignment horizontal="center" vertical="center" wrapText="1"/>
    </xf>
    <xf numFmtId="0" fontId="6" fillId="0" borderId="13" xfId="0" applyFont="1" applyBorder="1" applyAlignment="1">
      <alignment horizontal="center" wrapText="1"/>
    </xf>
    <xf numFmtId="0" fontId="6" fillId="0" borderId="14" xfId="0" applyFont="1" applyBorder="1" applyAlignment="1">
      <alignment horizontal="center" wrapText="1"/>
    </xf>
    <xf numFmtId="0" fontId="6" fillId="0" borderId="15" xfId="0" applyFont="1" applyBorder="1" applyAlignment="1">
      <alignment horizontal="center" wrapText="1"/>
    </xf>
    <xf numFmtId="0" fontId="17" fillId="0" borderId="57" xfId="0" applyFont="1" applyBorder="1" applyAlignment="1">
      <alignment horizontal="center" vertical="center" wrapText="1"/>
    </xf>
    <xf numFmtId="0" fontId="17" fillId="0" borderId="54" xfId="0" applyFont="1" applyBorder="1" applyAlignment="1">
      <alignment horizontal="center" vertical="center" wrapText="1"/>
    </xf>
    <xf numFmtId="0" fontId="17" fillId="0" borderId="56"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10" fillId="0" borderId="57" xfId="0" applyFont="1" applyBorder="1" applyAlignment="1">
      <alignment horizontal="center" vertical="center" wrapText="1"/>
    </xf>
    <xf numFmtId="1" fontId="9" fillId="0" borderId="58" xfId="0" applyNumberFormat="1" applyFont="1" applyBorder="1" applyAlignment="1">
      <alignment horizontal="center" vertical="center" shrinkToFit="1"/>
    </xf>
    <xf numFmtId="0" fontId="10" fillId="0" borderId="6"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5" xfId="0" applyFont="1" applyBorder="1" applyAlignment="1">
      <alignment horizontal="center" vertical="center" wrapText="1"/>
    </xf>
    <xf numFmtId="1" fontId="11" fillId="0" borderId="10" xfId="0" applyNumberFormat="1" applyFont="1" applyBorder="1" applyAlignment="1">
      <alignment horizontal="center" vertical="center" shrinkToFit="1"/>
    </xf>
    <xf numFmtId="1" fontId="11" fillId="0" borderId="11" xfId="0" applyNumberFormat="1" applyFont="1" applyBorder="1" applyAlignment="1">
      <alignment horizontal="center" vertical="center" shrinkToFit="1"/>
    </xf>
    <xf numFmtId="1" fontId="11" fillId="0" borderId="55" xfId="0" applyNumberFormat="1" applyFont="1" applyBorder="1" applyAlignment="1">
      <alignment horizontal="center" vertical="center" shrinkToFit="1"/>
    </xf>
    <xf numFmtId="0" fontId="10" fillId="10" borderId="10"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0" fillId="10" borderId="12" xfId="0" applyFont="1" applyFill="1" applyBorder="1" applyAlignment="1">
      <alignment horizontal="center" vertical="center" wrapText="1"/>
    </xf>
    <xf numFmtId="0" fontId="10" fillId="0" borderId="12" xfId="0" applyFont="1" applyBorder="1" applyAlignment="1">
      <alignment horizontal="center" vertical="center" wrapText="1"/>
    </xf>
    <xf numFmtId="0" fontId="0" fillId="0" borderId="52" xfId="0" applyBorder="1" applyAlignment="1">
      <alignment horizontal="center" vertical="center" wrapText="1"/>
    </xf>
    <xf numFmtId="0" fontId="5" fillId="0" borderId="14" xfId="0" applyFont="1" applyBorder="1" applyAlignment="1">
      <alignment horizontal="right" vertical="top" wrapText="1"/>
    </xf>
    <xf numFmtId="0" fontId="5" fillId="0" borderId="15" xfId="0" applyFont="1" applyBorder="1" applyAlignment="1">
      <alignment horizontal="right" vertical="top" wrapText="1"/>
    </xf>
    <xf numFmtId="0" fontId="6" fillId="0" borderId="10" xfId="0" applyFont="1" applyBorder="1" applyAlignment="1">
      <alignment horizontal="center" vertical="top" wrapText="1"/>
    </xf>
    <xf numFmtId="0" fontId="6" fillId="0" borderId="1" xfId="0" applyFont="1" applyBorder="1" applyAlignment="1">
      <alignment horizontal="right" vertical="top" wrapText="1"/>
    </xf>
    <xf numFmtId="0" fontId="10" fillId="0" borderId="13" xfId="0" applyFont="1" applyBorder="1" applyAlignment="1">
      <alignment horizontal="left" vertical="center" wrapText="1"/>
    </xf>
    <xf numFmtId="0" fontId="10" fillId="0" borderId="15" xfId="0" applyFont="1" applyBorder="1" applyAlignment="1">
      <alignment horizontal="left" vertical="center" wrapText="1"/>
    </xf>
    <xf numFmtId="0" fontId="10" fillId="0" borderId="14" xfId="0" applyFont="1" applyBorder="1" applyAlignment="1">
      <alignment horizontal="left" vertical="center" wrapText="1"/>
    </xf>
    <xf numFmtId="0" fontId="10" fillId="0" borderId="13" xfId="0" applyFont="1" applyBorder="1" applyAlignment="1">
      <alignment vertical="center" wrapText="1"/>
    </xf>
    <xf numFmtId="0" fontId="10" fillId="0" borderId="15" xfId="0" applyFont="1" applyBorder="1" applyAlignment="1">
      <alignment vertical="center" wrapText="1"/>
    </xf>
    <xf numFmtId="1" fontId="11" fillId="0" borderId="5" xfId="0" applyNumberFormat="1" applyFont="1" applyBorder="1" applyAlignment="1">
      <alignment horizontal="left" vertical="center" shrinkToFit="1"/>
    </xf>
    <xf numFmtId="1" fontId="11" fillId="0" borderId="2" xfId="0" applyNumberFormat="1" applyFont="1" applyBorder="1" applyAlignment="1">
      <alignment horizontal="left" vertical="center" shrinkToFit="1"/>
    </xf>
    <xf numFmtId="0" fontId="10" fillId="0" borderId="8" xfId="0" applyFont="1" applyBorder="1" applyAlignment="1">
      <alignment vertical="center" wrapText="1"/>
    </xf>
    <xf numFmtId="0" fontId="10" fillId="0" borderId="7" xfId="0" applyFont="1" applyBorder="1" applyAlignment="1">
      <alignmen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1" fontId="9" fillId="0" borderId="5" xfId="0" applyNumberFormat="1" applyFont="1" applyBorder="1" applyAlignment="1">
      <alignment horizontal="left" vertical="center" shrinkToFit="1"/>
    </xf>
    <xf numFmtId="1" fontId="9" fillId="0" borderId="2" xfId="0" applyNumberFormat="1" applyFont="1" applyBorder="1" applyAlignment="1">
      <alignment horizontal="left" vertical="center" shrinkToFit="1"/>
    </xf>
    <xf numFmtId="0" fontId="10" fillId="0" borderId="6" xfId="0" applyFont="1" applyBorder="1" applyAlignment="1">
      <alignment horizontal="left" vertical="center" wrapText="1"/>
    </xf>
    <xf numFmtId="0" fontId="10" fillId="0" borderId="9" xfId="0" applyFont="1" applyBorder="1" applyAlignment="1">
      <alignment horizontal="left" vertical="center" wrapText="1"/>
    </xf>
    <xf numFmtId="1" fontId="11" fillId="0" borderId="3" xfId="0" applyNumberFormat="1" applyFont="1" applyBorder="1" applyAlignment="1">
      <alignment horizontal="left" vertical="center" shrinkToFi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2" fillId="0" borderId="1" xfId="0" applyFont="1" applyBorder="1" applyAlignment="1">
      <alignment horizontal="center" vertical="top" wrapText="1"/>
    </xf>
    <xf numFmtId="0" fontId="5" fillId="0" borderId="1" xfId="0" applyFont="1" applyBorder="1" applyAlignment="1">
      <alignment horizontal="right" vertical="top" wrapText="1"/>
    </xf>
    <xf numFmtId="0" fontId="4" fillId="0" borderId="1" xfId="0" applyFont="1" applyBorder="1" applyAlignment="1">
      <alignment horizontal="right" vertical="top"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25" xfId="0" applyFont="1" applyBorder="1" applyAlignment="1">
      <alignment horizontal="center" vertical="center" wrapText="1"/>
    </xf>
    <xf numFmtId="0" fontId="21" fillId="0" borderId="10" xfId="0" applyFont="1" applyBorder="1" applyAlignment="1">
      <alignment horizontal="left" vertical="center" wrapText="1"/>
    </xf>
    <xf numFmtId="0" fontId="21" fillId="0" borderId="12" xfId="0" applyFont="1" applyBorder="1" applyAlignment="1">
      <alignment horizontal="left" vertical="center" wrapText="1"/>
    </xf>
    <xf numFmtId="0" fontId="24" fillId="0" borderId="1" xfId="0" applyFont="1" applyBorder="1" applyAlignment="1">
      <alignment horizontal="right" vertical="top" wrapText="1"/>
    </xf>
    <xf numFmtId="0" fontId="6" fillId="0" borderId="30" xfId="0" applyFont="1" applyBorder="1" applyAlignment="1">
      <alignment horizontal="center" vertical="center" wrapText="1"/>
    </xf>
    <xf numFmtId="0" fontId="6" fillId="0" borderId="2"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5" xfId="0" applyFont="1" applyBorder="1" applyAlignment="1">
      <alignment horizontal="left" vertical="center" wrapText="1"/>
    </xf>
    <xf numFmtId="0" fontId="22" fillId="0" borderId="2" xfId="0" applyFont="1" applyBorder="1" applyAlignment="1">
      <alignment horizontal="left" vertical="center" wrapText="1"/>
    </xf>
    <xf numFmtId="0" fontId="22" fillId="0" borderId="33" xfId="0" applyFont="1" applyBorder="1" applyAlignment="1">
      <alignment horizontal="center" vertical="center" wrapText="1"/>
    </xf>
    <xf numFmtId="0" fontId="22" fillId="0" borderId="34" xfId="0" applyFont="1" applyBorder="1" applyAlignment="1">
      <alignment horizontal="center" vertical="center" wrapText="1"/>
    </xf>
    <xf numFmtId="0" fontId="11" fillId="2" borderId="10" xfId="0" applyFont="1" applyFill="1" applyBorder="1" applyAlignment="1">
      <alignment horizontal="left" vertical="center" wrapText="1"/>
    </xf>
    <xf numFmtId="0" fontId="11" fillId="2" borderId="11" xfId="0" applyFont="1" applyFill="1" applyBorder="1" applyAlignment="1">
      <alignment horizontal="left" vertical="center" wrapText="1"/>
    </xf>
    <xf numFmtId="0" fontId="11" fillId="2" borderId="12"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6" fillId="2" borderId="13" xfId="0" applyFont="1" applyFill="1" applyBorder="1" applyAlignment="1">
      <alignment horizontal="right" vertical="top" wrapText="1"/>
    </xf>
    <xf numFmtId="0" fontId="6" fillId="2" borderId="14" xfId="0" applyFont="1" applyFill="1" applyBorder="1" applyAlignment="1">
      <alignment horizontal="right" vertical="top" wrapText="1"/>
    </xf>
    <xf numFmtId="0" fontId="6" fillId="2" borderId="15" xfId="0" applyFont="1" applyFill="1" applyBorder="1" applyAlignment="1">
      <alignment horizontal="right" vertical="top" wrapText="1"/>
    </xf>
    <xf numFmtId="0" fontId="6" fillId="2" borderId="35" xfId="0" applyFont="1" applyFill="1" applyBorder="1" applyAlignment="1">
      <alignment horizontal="center" wrapText="1"/>
    </xf>
    <xf numFmtId="0" fontId="6" fillId="2" borderId="0" xfId="0" applyFont="1" applyFill="1" applyAlignment="1">
      <alignment horizontal="center" wrapText="1"/>
    </xf>
    <xf numFmtId="0" fontId="12" fillId="2" borderId="1" xfId="0" applyFont="1" applyFill="1" applyBorder="1" applyAlignment="1">
      <alignment horizontal="center" vertical="top" wrapText="1"/>
    </xf>
    <xf numFmtId="0" fontId="5" fillId="2" borderId="1" xfId="0" applyFont="1" applyFill="1" applyBorder="1" applyAlignment="1">
      <alignment horizontal="right" vertical="top" wrapText="1"/>
    </xf>
    <xf numFmtId="0" fontId="4" fillId="2" borderId="1" xfId="0" applyFont="1" applyFill="1" applyBorder="1" applyAlignment="1">
      <alignment horizontal="right" vertical="top" wrapText="1"/>
    </xf>
    <xf numFmtId="0" fontId="6" fillId="2" borderId="2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30" xfId="0" applyFont="1" applyFill="1" applyBorder="1" applyAlignment="1">
      <alignment horizontal="center" vertical="center" wrapText="1"/>
    </xf>
    <xf numFmtId="1" fontId="11" fillId="2" borderId="1" xfId="0" applyNumberFormat="1" applyFont="1" applyFill="1" applyBorder="1" applyAlignment="1">
      <alignment horizontal="center" vertical="center" shrinkToFit="1"/>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1" fillId="2" borderId="10"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2" xfId="0" applyFont="1" applyFill="1" applyBorder="1" applyAlignment="1">
      <alignment horizontal="center" vertical="center"/>
    </xf>
    <xf numFmtId="0" fontId="29" fillId="0" borderId="6" xfId="0" applyFont="1" applyBorder="1" applyAlignment="1">
      <alignment horizontal="left" vertical="center"/>
    </xf>
    <xf numFmtId="0" fontId="29" fillId="0" borderId="24" xfId="0" applyFont="1" applyBorder="1" applyAlignment="1">
      <alignment horizontal="left" vertical="center"/>
    </xf>
    <xf numFmtId="0" fontId="29" fillId="0" borderId="9" xfId="0" applyFont="1" applyBorder="1" applyAlignment="1">
      <alignment horizontal="left" vertical="center"/>
    </xf>
    <xf numFmtId="0" fontId="29" fillId="0" borderId="16" xfId="0" applyFont="1" applyBorder="1" applyAlignment="1">
      <alignment horizontal="left" vertical="center"/>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16" fillId="0" borderId="8" xfId="0" applyFont="1" applyBorder="1" applyAlignment="1">
      <alignment horizontal="left" vertical="center" wrapText="1"/>
    </xf>
    <xf numFmtId="0" fontId="28" fillId="0" borderId="31" xfId="0" applyFont="1" applyBorder="1" applyAlignment="1">
      <alignment horizontal="left" vertical="top"/>
    </xf>
    <xf numFmtId="0" fontId="28" fillId="0" borderId="7" xfId="0" applyFont="1" applyBorder="1" applyAlignment="1">
      <alignment horizontal="left" vertical="top"/>
    </xf>
    <xf numFmtId="0" fontId="30" fillId="0" borderId="6" xfId="0" applyFont="1" applyBorder="1" applyAlignment="1">
      <alignment horizontal="center" wrapText="1"/>
    </xf>
    <xf numFmtId="0" fontId="28" fillId="0" borderId="24" xfId="0" applyFont="1" applyBorder="1" applyAlignment="1">
      <alignment horizontal="left" vertical="top"/>
    </xf>
    <xf numFmtId="0" fontId="28" fillId="0" borderId="9" xfId="0" applyFont="1" applyBorder="1" applyAlignment="1">
      <alignment horizontal="left" vertical="top"/>
    </xf>
    <xf numFmtId="0" fontId="11" fillId="0" borderId="5" xfId="0" applyFont="1" applyBorder="1" applyAlignment="1">
      <alignment horizontal="left" vertical="center"/>
    </xf>
    <xf numFmtId="0" fontId="28" fillId="0" borderId="2" xfId="0" applyFont="1" applyBorder="1" applyAlignment="1">
      <alignment horizontal="left" vertical="top"/>
    </xf>
    <xf numFmtId="0" fontId="28" fillId="0" borderId="3" xfId="0" applyFont="1" applyBorder="1" applyAlignment="1">
      <alignment horizontal="left" vertical="top"/>
    </xf>
    <xf numFmtId="0" fontId="16" fillId="0" borderId="5" xfId="0" applyFont="1" applyBorder="1" applyAlignment="1">
      <alignment horizontal="left" vertical="center" wrapText="1"/>
    </xf>
    <xf numFmtId="0" fontId="30" fillId="0" borderId="8" xfId="0" applyFont="1" applyBorder="1" applyAlignment="1">
      <alignment horizontal="right" vertical="top" wrapText="1"/>
    </xf>
    <xf numFmtId="0" fontId="11" fillId="0" borderId="5" xfId="0" applyFont="1" applyBorder="1" applyAlignment="1">
      <alignment horizontal="left" vertical="center" wrapText="1"/>
    </xf>
    <xf numFmtId="0" fontId="8" fillId="0" borderId="8" xfId="0" applyFont="1" applyBorder="1" applyAlignment="1">
      <alignment horizontal="center" vertical="top" wrapText="1"/>
    </xf>
    <xf numFmtId="0" fontId="16" fillId="0" borderId="8" xfId="0" applyFont="1" applyBorder="1" applyAlignment="1">
      <alignment horizontal="right" vertical="top" wrapText="1"/>
    </xf>
    <xf numFmtId="0" fontId="30" fillId="0" borderId="16" xfId="0" applyFont="1" applyBorder="1" applyAlignment="1">
      <alignment horizontal="center" vertical="center" wrapText="1"/>
    </xf>
    <xf numFmtId="0" fontId="28" fillId="0" borderId="17" xfId="0" applyFont="1" applyBorder="1" applyAlignment="1">
      <alignment horizontal="left" vertical="top"/>
    </xf>
    <xf numFmtId="0" fontId="28" fillId="0" borderId="18" xfId="0" applyFont="1" applyBorder="1" applyAlignment="1">
      <alignment horizontal="left" vertical="top"/>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6" fillId="0" borderId="1" xfId="0" applyFont="1" applyBorder="1" applyAlignment="1">
      <alignment horizontal="center" vertical="top" wrapText="1"/>
    </xf>
    <xf numFmtId="0" fontId="10" fillId="0" borderId="16" xfId="0" applyFont="1" applyBorder="1" applyAlignment="1">
      <alignment vertical="center" wrapText="1"/>
    </xf>
    <xf numFmtId="0" fontId="10" fillId="0" borderId="17" xfId="0" applyFont="1" applyBorder="1" applyAlignment="1">
      <alignment vertical="center" wrapText="1"/>
    </xf>
    <xf numFmtId="0" fontId="10" fillId="0" borderId="36" xfId="0" applyFont="1" applyBorder="1" applyAlignment="1">
      <alignment horizontal="left" vertical="center" wrapText="1"/>
    </xf>
    <xf numFmtId="0" fontId="10" fillId="0" borderId="25" xfId="0" applyFont="1" applyBorder="1" applyAlignment="1">
      <alignment horizontal="left" vertical="center" wrapText="1"/>
    </xf>
    <xf numFmtId="0" fontId="12" fillId="0" borderId="0" xfId="0" applyFont="1" applyAlignment="1">
      <alignment horizontal="center" vertical="top" wrapText="1"/>
    </xf>
    <xf numFmtId="0" fontId="0" fillId="0" borderId="0" xfId="0" applyAlignment="1">
      <alignment horizontal="center" vertical="top" wrapText="1"/>
    </xf>
    <xf numFmtId="0" fontId="5" fillId="0" borderId="0" xfId="0" applyFont="1" applyAlignment="1">
      <alignment horizontal="right" vertical="top" wrapText="1" indent="1"/>
    </xf>
    <xf numFmtId="0" fontId="4" fillId="0" borderId="0" xfId="0" applyFont="1" applyAlignment="1">
      <alignment horizontal="right" vertical="top" wrapText="1" indent="1"/>
    </xf>
    <xf numFmtId="0" fontId="6" fillId="0" borderId="8"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7" xfId="0" applyFont="1" applyBorder="1" applyAlignment="1">
      <alignment horizontal="center" vertical="center" wrapText="1"/>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0" fillId="0" borderId="21"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9" xfId="0" applyFont="1" applyBorder="1" applyAlignment="1">
      <alignment horizontal="center" vertical="center" wrapText="1"/>
    </xf>
    <xf numFmtId="0" fontId="35" fillId="0" borderId="1" xfId="0" applyFont="1" applyBorder="1" applyAlignment="1">
      <alignment horizontal="center" vertical="top" wrapText="1"/>
    </xf>
    <xf numFmtId="0" fontId="42" fillId="0" borderId="13" xfId="0" applyFont="1" applyBorder="1" applyAlignment="1">
      <alignment horizontal="left" vertical="center" wrapText="1"/>
    </xf>
    <xf numFmtId="0" fontId="42" fillId="0" borderId="14" xfId="0" applyFont="1" applyBorder="1" applyAlignment="1">
      <alignment horizontal="left" vertical="center" wrapText="1"/>
    </xf>
    <xf numFmtId="0" fontId="42" fillId="0" borderId="15" xfId="0" applyFont="1" applyBorder="1" applyAlignment="1">
      <alignment horizontal="left" vertical="center" wrapText="1"/>
    </xf>
    <xf numFmtId="0" fontId="37" fillId="0" borderId="1" xfId="0" applyFont="1" applyBorder="1" applyAlignment="1">
      <alignment horizontal="right" vertical="top" wrapText="1"/>
    </xf>
    <xf numFmtId="0" fontId="37" fillId="0" borderId="13" xfId="0" applyFont="1" applyBorder="1" applyAlignment="1">
      <alignment horizontal="center" wrapText="1"/>
    </xf>
    <xf numFmtId="0" fontId="37" fillId="0" borderId="14" xfId="0" applyFont="1" applyBorder="1" applyAlignment="1">
      <alignment horizontal="center" wrapText="1"/>
    </xf>
    <xf numFmtId="0" fontId="37" fillId="0" borderId="15" xfId="0" applyFont="1" applyBorder="1" applyAlignment="1">
      <alignment horizontal="center" wrapText="1"/>
    </xf>
    <xf numFmtId="0" fontId="41" fillId="0" borderId="1" xfId="0" applyFont="1" applyBorder="1" applyAlignment="1">
      <alignment horizontal="left" vertical="center"/>
    </xf>
    <xf numFmtId="0" fontId="42" fillId="0" borderId="1" xfId="0" applyFont="1" applyBorder="1" applyAlignment="1">
      <alignment horizontal="left" vertical="center" wrapText="1"/>
    </xf>
    <xf numFmtId="0" fontId="42" fillId="0" borderId="13" xfId="0" applyFont="1" applyBorder="1" applyAlignment="1">
      <alignment vertical="center" wrapText="1"/>
    </xf>
    <xf numFmtId="0" fontId="42" fillId="0" borderId="15" xfId="0" applyFont="1" applyBorder="1" applyAlignment="1">
      <alignment vertical="center" wrapText="1"/>
    </xf>
    <xf numFmtId="0" fontId="42" fillId="0" borderId="19" xfId="0" applyFont="1" applyBorder="1" applyAlignment="1">
      <alignment horizontal="left" vertical="center" wrapText="1"/>
    </xf>
    <xf numFmtId="0" fontId="42" fillId="0" borderId="20" xfId="0" applyFont="1" applyBorder="1" applyAlignment="1">
      <alignment horizontal="left" vertical="center" wrapText="1"/>
    </xf>
    <xf numFmtId="1" fontId="41" fillId="0" borderId="5" xfId="0" applyNumberFormat="1" applyFont="1" applyBorder="1" applyAlignment="1">
      <alignment horizontal="left" vertical="center" shrinkToFit="1"/>
    </xf>
    <xf numFmtId="1" fontId="41" fillId="0" borderId="2" xfId="0" applyNumberFormat="1" applyFont="1" applyBorder="1" applyAlignment="1">
      <alignment horizontal="left" vertical="center" shrinkToFit="1"/>
    </xf>
    <xf numFmtId="0" fontId="42" fillId="0" borderId="5" xfId="0" applyFont="1" applyBorder="1" applyAlignment="1">
      <alignment horizontal="left" vertical="center" wrapText="1"/>
    </xf>
    <xf numFmtId="0" fontId="42" fillId="0" borderId="2" xfId="0" applyFont="1" applyBorder="1" applyAlignment="1">
      <alignment horizontal="left" vertical="center" wrapText="1"/>
    </xf>
    <xf numFmtId="0" fontId="42" fillId="0" borderId="8" xfId="0" applyFont="1" applyBorder="1" applyAlignment="1">
      <alignment horizontal="left" vertical="center" wrapText="1"/>
    </xf>
    <xf numFmtId="0" fontId="42" fillId="0" borderId="7" xfId="0" applyFont="1" applyBorder="1" applyAlignment="1">
      <alignment horizontal="left" vertical="center" wrapText="1"/>
    </xf>
    <xf numFmtId="0" fontId="42" fillId="0" borderId="6" xfId="0" applyFont="1" applyBorder="1" applyAlignment="1">
      <alignment horizontal="left" vertical="center" wrapText="1"/>
    </xf>
    <xf numFmtId="0" fontId="42" fillId="0" borderId="9" xfId="0" applyFont="1" applyBorder="1" applyAlignment="1">
      <alignment horizontal="left" vertical="center" wrapText="1"/>
    </xf>
    <xf numFmtId="0" fontId="42" fillId="0" borderId="8" xfId="0" applyFont="1" applyBorder="1" applyAlignment="1">
      <alignment vertical="center" wrapText="1"/>
    </xf>
    <xf numFmtId="0" fontId="42" fillId="0" borderId="7" xfId="0" applyFont="1" applyBorder="1" applyAlignment="1">
      <alignment vertical="center" wrapText="1"/>
    </xf>
    <xf numFmtId="1" fontId="41" fillId="0" borderId="3" xfId="0" applyNumberFormat="1" applyFont="1" applyBorder="1" applyAlignment="1">
      <alignment horizontal="left" vertical="center" shrinkToFit="1"/>
    </xf>
    <xf numFmtId="0" fontId="42" fillId="0" borderId="3" xfId="0" applyFont="1" applyBorder="1" applyAlignment="1">
      <alignment horizontal="left" vertical="center" wrapText="1"/>
    </xf>
    <xf numFmtId="0" fontId="42" fillId="0" borderId="25" xfId="0" applyFont="1" applyBorder="1" applyAlignment="1">
      <alignment horizontal="left" vertical="center" wrapText="1"/>
    </xf>
    <xf numFmtId="0" fontId="45" fillId="0" borderId="10" xfId="0" applyFont="1" applyBorder="1" applyAlignment="1">
      <alignment horizontal="center" vertical="center" wrapText="1"/>
    </xf>
    <xf numFmtId="0" fontId="45" fillId="0" borderId="11" xfId="0" applyFont="1" applyBorder="1" applyAlignment="1">
      <alignment horizontal="center" vertical="center" wrapText="1"/>
    </xf>
    <xf numFmtId="0" fontId="45" fillId="0" borderId="12" xfId="0" applyFont="1" applyBorder="1" applyAlignment="1">
      <alignment horizontal="center" vertical="center" wrapText="1"/>
    </xf>
    <xf numFmtId="0" fontId="43" fillId="0" borderId="1" xfId="0" applyFont="1" applyBorder="1" applyAlignment="1">
      <alignment horizontal="center" vertical="top"/>
    </xf>
    <xf numFmtId="0" fontId="43" fillId="0" borderId="22" xfId="0" applyFont="1" applyBorder="1" applyAlignment="1">
      <alignment horizontal="center" vertical="center"/>
    </xf>
    <xf numFmtId="0" fontId="43" fillId="0" borderId="28" xfId="0" applyFont="1" applyBorder="1" applyAlignment="1">
      <alignment horizontal="center" vertical="center"/>
    </xf>
    <xf numFmtId="0" fontId="43" fillId="0" borderId="27" xfId="0" applyFont="1" applyBorder="1" applyAlignment="1">
      <alignment horizontal="center" vertical="center"/>
    </xf>
    <xf numFmtId="0" fontId="36" fillId="0" borderId="1" xfId="0" applyFont="1" applyBorder="1" applyAlignment="1">
      <alignment horizontal="center" vertical="top" wrapText="1"/>
    </xf>
    <xf numFmtId="0" fontId="38" fillId="0" borderId="1" xfId="0" applyFont="1" applyBorder="1" applyAlignment="1">
      <alignment horizontal="right" vertical="top" wrapText="1"/>
    </xf>
    <xf numFmtId="0" fontId="39" fillId="0" borderId="1" xfId="0" applyFont="1" applyBorder="1" applyAlignment="1">
      <alignment horizontal="right" vertical="top" wrapText="1"/>
    </xf>
    <xf numFmtId="0" fontId="37" fillId="0" borderId="16"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2" xfId="0" applyFont="1" applyBorder="1" applyAlignment="1">
      <alignment horizontal="center" vertical="center" wrapText="1"/>
    </xf>
    <xf numFmtId="0" fontId="43" fillId="0" borderId="10" xfId="0" applyFont="1" applyBorder="1" applyAlignment="1">
      <alignment horizontal="center" vertical="center"/>
    </xf>
    <xf numFmtId="0" fontId="43" fillId="0" borderId="11" xfId="0" applyFont="1" applyBorder="1" applyAlignment="1">
      <alignment horizontal="center" vertical="center"/>
    </xf>
    <xf numFmtId="0" fontId="43" fillId="0" borderId="12" xfId="0" applyFont="1" applyBorder="1" applyAlignment="1">
      <alignment horizontal="center" vertical="center"/>
    </xf>
    <xf numFmtId="0" fontId="44" fillId="0" borderId="10" xfId="0" applyFont="1" applyBorder="1" applyAlignment="1">
      <alignment horizontal="center" vertical="center"/>
    </xf>
    <xf numFmtId="0" fontId="44" fillId="0" borderId="12" xfId="0" applyFont="1" applyBorder="1" applyAlignment="1">
      <alignment horizontal="center" vertical="center"/>
    </xf>
    <xf numFmtId="0" fontId="53" fillId="0" borderId="1" xfId="0" applyFont="1" applyBorder="1" applyAlignment="1">
      <alignment horizontal="left" vertical="center" wrapText="1"/>
    </xf>
    <xf numFmtId="0" fontId="51" fillId="0" borderId="1" xfId="0" applyFont="1" applyBorder="1" applyAlignment="1">
      <alignment horizontal="left" vertical="top"/>
    </xf>
    <xf numFmtId="0" fontId="11" fillId="0" borderId="1" xfId="0" applyFont="1" applyBorder="1" applyAlignment="1">
      <alignment horizontal="left" vertical="center" wrapText="1"/>
    </xf>
    <xf numFmtId="0" fontId="17" fillId="0" borderId="1" xfId="0" applyFont="1" applyBorder="1" applyAlignment="1">
      <alignment horizontal="left" vertical="center" wrapText="1"/>
    </xf>
    <xf numFmtId="0" fontId="8" fillId="0" borderId="1" xfId="0" applyFont="1" applyBorder="1" applyAlignment="1">
      <alignment horizontal="right" vertical="center" wrapText="1"/>
    </xf>
    <xf numFmtId="0" fontId="17" fillId="0" borderId="1" xfId="0" applyFont="1" applyBorder="1" applyAlignment="1">
      <alignment horizontal="left" vertical="center"/>
    </xf>
    <xf numFmtId="0" fontId="8" fillId="0" borderId="1" xfId="0" applyFont="1" applyBorder="1" applyAlignment="1">
      <alignment horizontal="left" vertical="center" wrapText="1"/>
    </xf>
    <xf numFmtId="0" fontId="1" fillId="0" borderId="1" xfId="0" applyFont="1" applyBorder="1" applyAlignment="1">
      <alignment horizontal="right" vertical="center" wrapText="1"/>
    </xf>
    <xf numFmtId="0" fontId="48" fillId="0" borderId="1" xfId="0" applyFont="1" applyBorder="1" applyAlignment="1">
      <alignment horizontal="righ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5" fillId="0" borderId="1" xfId="0" applyFont="1" applyBorder="1" applyAlignment="1">
      <alignment horizontal="right" vertical="center" wrapText="1" indent="1"/>
    </xf>
    <xf numFmtId="0" fontId="46"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1" fontId="11" fillId="2" borderId="1" xfId="0" applyNumberFormat="1" applyFont="1" applyFill="1" applyBorder="1" applyAlignment="1">
      <alignment horizontal="left" vertical="center" shrinkToFit="1"/>
    </xf>
    <xf numFmtId="0" fontId="10" fillId="2" borderId="1" xfId="0" applyFont="1" applyFill="1" applyBorder="1" applyAlignment="1">
      <alignment horizontal="left" vertical="center" wrapText="1"/>
    </xf>
    <xf numFmtId="0" fontId="74" fillId="0" borderId="6" xfId="0" applyFont="1" applyBorder="1" applyAlignment="1">
      <alignment horizontal="left" vertical="center" wrapText="1"/>
    </xf>
    <xf numFmtId="0" fontId="68" fillId="0" borderId="9" xfId="0" applyFont="1" applyBorder="1" applyAlignment="1">
      <alignment horizontal="left" vertical="top"/>
    </xf>
    <xf numFmtId="0" fontId="68" fillId="0" borderId="25" xfId="0" applyFont="1" applyBorder="1" applyAlignment="1">
      <alignment horizontal="left" vertical="top"/>
    </xf>
    <xf numFmtId="0" fontId="68" fillId="0" borderId="30" xfId="0" applyFont="1" applyBorder="1" applyAlignment="1">
      <alignment horizontal="left" vertical="top"/>
    </xf>
    <xf numFmtId="0" fontId="68" fillId="0" borderId="16" xfId="0" applyFont="1" applyBorder="1" applyAlignment="1">
      <alignment horizontal="left" vertical="top"/>
    </xf>
    <xf numFmtId="0" fontId="68" fillId="0" borderId="18" xfId="0" applyFont="1" applyBorder="1" applyAlignment="1">
      <alignment horizontal="left" vertical="top"/>
    </xf>
    <xf numFmtId="0" fontId="70" fillId="0" borderId="8" xfId="0" applyFont="1" applyBorder="1" applyAlignment="1">
      <alignment horizontal="right" vertical="top" wrapText="1"/>
    </xf>
    <xf numFmtId="0" fontId="68" fillId="0" borderId="31" xfId="0" applyFont="1" applyBorder="1" applyAlignment="1">
      <alignment horizontal="left" vertical="top"/>
    </xf>
    <xf numFmtId="0" fontId="68" fillId="0" borderId="7" xfId="0" applyFont="1" applyBorder="1" applyAlignment="1">
      <alignment horizontal="left" vertical="top"/>
    </xf>
    <xf numFmtId="0" fontId="70" fillId="0" borderId="8" xfId="0" applyFont="1" applyBorder="1" applyAlignment="1">
      <alignment horizontal="center" wrapText="1"/>
    </xf>
    <xf numFmtId="0" fontId="75" fillId="0" borderId="8" xfId="0" applyFont="1" applyBorder="1" applyAlignment="1">
      <alignment horizontal="center" vertical="top" wrapText="1"/>
    </xf>
    <xf numFmtId="0" fontId="69" fillId="0" borderId="8" xfId="0" applyFont="1" applyBorder="1" applyAlignment="1">
      <alignment horizontal="right" vertical="top" wrapText="1"/>
    </xf>
    <xf numFmtId="0" fontId="70" fillId="0" borderId="8" xfId="0" applyFont="1" applyBorder="1" applyAlignment="1">
      <alignment horizontal="center" vertical="center" wrapText="1"/>
    </xf>
    <xf numFmtId="1" fontId="72" fillId="0" borderId="5" xfId="0" applyNumberFormat="1" applyFont="1" applyBorder="1" applyAlignment="1">
      <alignment horizontal="left" vertical="center" shrinkToFit="1"/>
    </xf>
    <xf numFmtId="0" fontId="68" fillId="0" borderId="2" xfId="0" applyFont="1" applyBorder="1" applyAlignment="1">
      <alignment horizontal="left" vertical="top"/>
    </xf>
    <xf numFmtId="0" fontId="68" fillId="0" borderId="3" xfId="0" applyFont="1" applyBorder="1" applyAlignment="1">
      <alignment horizontal="left" vertical="top"/>
    </xf>
    <xf numFmtId="0" fontId="74" fillId="0" borderId="5" xfId="0" applyFont="1" applyBorder="1" applyAlignment="1">
      <alignment horizontal="left" vertical="center" wrapText="1"/>
    </xf>
    <xf numFmtId="0" fontId="6" fillId="0" borderId="5" xfId="0" applyFont="1" applyBorder="1" applyAlignment="1">
      <alignment horizontal="left" vertical="center" wrapText="1"/>
    </xf>
    <xf numFmtId="0" fontId="6" fillId="0" borderId="3" xfId="0" applyFont="1" applyBorder="1" applyAlignment="1">
      <alignment horizontal="left" vertical="center" wrapText="1"/>
    </xf>
    <xf numFmtId="0" fontId="55" fillId="0" borderId="8" xfId="0" applyFont="1" applyBorder="1" applyAlignment="1">
      <alignment vertical="center" wrapText="1"/>
    </xf>
    <xf numFmtId="0" fontId="58" fillId="0" borderId="31" xfId="0" applyFont="1" applyBorder="1"/>
    <xf numFmtId="0" fontId="58" fillId="0" borderId="7" xfId="0" applyFont="1" applyBorder="1"/>
    <xf numFmtId="0" fontId="80" fillId="0" borderId="0" xfId="0" applyFont="1" applyAlignment="1">
      <alignment horizontal="center" wrapText="1"/>
    </xf>
    <xf numFmtId="0" fontId="81" fillId="0" borderId="0" xfId="0" applyFont="1"/>
    <xf numFmtId="0" fontId="80" fillId="0" borderId="17" xfId="0" applyFont="1" applyBorder="1" applyAlignment="1">
      <alignment horizontal="center" wrapText="1"/>
    </xf>
    <xf numFmtId="0" fontId="55" fillId="0" borderId="2" xfId="0" applyFont="1" applyBorder="1" applyAlignment="1">
      <alignment horizontal="center" vertical="center" wrapText="1"/>
    </xf>
    <xf numFmtId="0" fontId="58" fillId="0" borderId="2" xfId="0" applyFont="1" applyBorder="1"/>
    <xf numFmtId="0" fontId="58" fillId="0" borderId="3" xfId="0" applyFont="1" applyBorder="1"/>
    <xf numFmtId="0" fontId="55" fillId="0" borderId="2" xfId="0" applyFont="1" applyBorder="1" applyAlignment="1">
      <alignment horizontal="center" vertical="top" wrapText="1"/>
    </xf>
    <xf numFmtId="166" fontId="55" fillId="0" borderId="25" xfId="0" applyNumberFormat="1" applyFont="1" applyBorder="1" applyAlignment="1">
      <alignment vertical="center" wrapText="1"/>
    </xf>
    <xf numFmtId="0" fontId="0" fillId="0" borderId="0" xfId="0"/>
    <xf numFmtId="0" fontId="58" fillId="0" borderId="30" xfId="0" applyFont="1" applyBorder="1"/>
    <xf numFmtId="0" fontId="81" fillId="0" borderId="0" xfId="0" applyFont="1" applyAlignment="1">
      <alignment horizontal="center"/>
    </xf>
    <xf numFmtId="0" fontId="81" fillId="0" borderId="17" xfId="0" applyFont="1" applyBorder="1" applyAlignment="1">
      <alignment horizontal="center"/>
    </xf>
    <xf numFmtId="0" fontId="55" fillId="0" borderId="6" xfId="0" applyFont="1" applyBorder="1" applyAlignment="1">
      <alignment vertical="center" wrapText="1"/>
    </xf>
    <xf numFmtId="0" fontId="58" fillId="0" borderId="24" xfId="0" applyFont="1" applyBorder="1"/>
    <xf numFmtId="0" fontId="58" fillId="0" borderId="9" xfId="0" applyFont="1" applyBorder="1"/>
    <xf numFmtId="0" fontId="58" fillId="0" borderId="0" xfId="0" applyFont="1" applyAlignment="1">
      <alignment horizontal="center"/>
    </xf>
    <xf numFmtId="0" fontId="8" fillId="2" borderId="1" xfId="0" applyFont="1" applyFill="1" applyBorder="1" applyAlignment="1">
      <alignment horizontal="center" vertical="center" wrapText="1"/>
    </xf>
    <xf numFmtId="0" fontId="18" fillId="2" borderId="1" xfId="0" applyFont="1" applyFill="1" applyBorder="1"/>
    <xf numFmtId="0" fontId="11" fillId="2" borderId="1" xfId="0" applyFont="1" applyFill="1" applyBorder="1" applyAlignment="1">
      <alignment horizontal="left" vertical="center" wrapText="1"/>
    </xf>
    <xf numFmtId="0" fontId="0" fillId="0" borderId="14" xfId="0" applyBorder="1" applyAlignment="1">
      <alignment horizontal="center" vertical="top"/>
    </xf>
    <xf numFmtId="0" fontId="0" fillId="0" borderId="15" xfId="0" applyBorder="1" applyAlignment="1">
      <alignment horizontal="center" vertical="top"/>
    </xf>
    <xf numFmtId="0" fontId="8" fillId="0" borderId="13" xfId="0" applyFont="1" applyBorder="1" applyAlignment="1">
      <alignment horizontal="right" vertical="top"/>
    </xf>
    <xf numFmtId="0" fontId="8" fillId="0" borderId="14" xfId="0" applyFont="1" applyBorder="1" applyAlignment="1">
      <alignment horizontal="right" vertical="top"/>
    </xf>
    <xf numFmtId="0" fontId="8" fillId="0" borderId="15" xfId="0" applyFont="1" applyBorder="1" applyAlignment="1">
      <alignment horizontal="right" vertical="top"/>
    </xf>
    <xf numFmtId="1" fontId="29" fillId="0" borderId="5" xfId="0" applyNumberFormat="1" applyFont="1" applyBorder="1" applyAlignment="1">
      <alignment horizontal="left" vertical="center" shrinkToFit="1"/>
    </xf>
    <xf numFmtId="1" fontId="29" fillId="0" borderId="2" xfId="0" applyNumberFormat="1" applyFont="1" applyBorder="1" applyAlignment="1">
      <alignment horizontal="left" vertical="center" shrinkToFit="1"/>
    </xf>
    <xf numFmtId="0" fontId="29" fillId="0" borderId="5" xfId="0" applyFont="1" applyBorder="1" applyAlignment="1">
      <alignment horizontal="left" vertical="center" wrapText="1"/>
    </xf>
    <xf numFmtId="0" fontId="29" fillId="0" borderId="2" xfId="0" applyFont="1" applyBorder="1" applyAlignment="1">
      <alignment horizontal="left" vertical="center" wrapText="1"/>
    </xf>
    <xf numFmtId="0" fontId="29" fillId="0" borderId="8" xfId="0" applyFont="1" applyBorder="1" applyAlignment="1">
      <alignment horizontal="left" vertical="center" wrapText="1"/>
    </xf>
    <xf numFmtId="0" fontId="29" fillId="0" borderId="7" xfId="0" applyFont="1" applyBorder="1" applyAlignment="1">
      <alignment horizontal="left" vertical="center" wrapText="1"/>
    </xf>
    <xf numFmtId="0" fontId="29" fillId="0" borderId="6" xfId="0" applyFont="1" applyBorder="1" applyAlignment="1">
      <alignment horizontal="left" vertical="center" wrapText="1"/>
    </xf>
    <xf numFmtId="0" fontId="29" fillId="0" borderId="9" xfId="0" applyFont="1" applyBorder="1" applyAlignment="1">
      <alignment horizontal="left" vertical="center" wrapText="1"/>
    </xf>
    <xf numFmtId="1" fontId="9" fillId="0" borderId="10" xfId="0" applyNumberFormat="1" applyFont="1" applyBorder="1" applyAlignment="1">
      <alignment horizontal="left" vertical="center" shrinkToFit="1"/>
    </xf>
    <xf numFmtId="1" fontId="9" fillId="0" borderId="11" xfId="0" applyNumberFormat="1" applyFont="1" applyBorder="1" applyAlignment="1">
      <alignment horizontal="left" vertical="center" shrinkToFit="1"/>
    </xf>
    <xf numFmtId="1" fontId="9" fillId="0" borderId="12" xfId="0" applyNumberFormat="1" applyFont="1" applyBorder="1" applyAlignment="1">
      <alignment horizontal="left" vertical="center" shrinkToFi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1" fontId="9" fillId="0" borderId="3" xfId="0" applyNumberFormat="1" applyFont="1" applyBorder="1" applyAlignment="1">
      <alignment horizontal="left" vertical="center" shrinkToFit="1"/>
    </xf>
    <xf numFmtId="0" fontId="0" fillId="0" borderId="2" xfId="0" applyBorder="1" applyAlignment="1">
      <alignment horizontal="left" vertical="center"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4" fillId="0" borderId="1" xfId="0" applyFont="1" applyBorder="1" applyAlignment="1">
      <alignment horizontal="right" vertical="top" wrapText="1" indent="1"/>
    </xf>
    <xf numFmtId="0" fontId="16" fillId="10" borderId="0" xfId="0" applyFont="1" applyFill="1" applyBorder="1" applyAlignment="1">
      <alignment horizontal="center" vertical="center" wrapText="1"/>
    </xf>
    <xf numFmtId="0" fontId="17" fillId="10" borderId="31" xfId="0" applyFont="1" applyFill="1" applyBorder="1" applyAlignment="1">
      <alignment horizontal="center" vertical="center" wrapText="1"/>
    </xf>
    <xf numFmtId="2" fontId="0" fillId="10" borderId="2" xfId="0" applyNumberFormat="1" applyFill="1" applyBorder="1" applyAlignment="1">
      <alignment horizontal="center" vertical="center" wrapText="1"/>
    </xf>
    <xf numFmtId="0" fontId="14" fillId="10" borderId="28"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0" xfId="0" applyFont="1" applyBorder="1" applyAlignment="1">
      <alignment horizontal="center" vertical="center" wrapText="1"/>
    </xf>
    <xf numFmtId="0" fontId="16" fillId="0" borderId="23" xfId="0" applyFont="1" applyBorder="1" applyAlignment="1">
      <alignment horizontal="center" vertical="center" wrapText="1"/>
    </xf>
    <xf numFmtId="2" fontId="16" fillId="10" borderId="23" xfId="0" applyNumberFormat="1" applyFont="1" applyFill="1" applyBorder="1" applyAlignment="1">
      <alignment horizontal="center" vertical="center" wrapText="1"/>
    </xf>
    <xf numFmtId="0" fontId="21" fillId="10" borderId="23" xfId="0" applyFont="1" applyFill="1" applyBorder="1" applyAlignment="1">
      <alignment horizontal="center" vertical="center" wrapText="1"/>
    </xf>
    <xf numFmtId="0" fontId="11" fillId="0" borderId="23" xfId="0" applyFont="1" applyBorder="1" applyAlignment="1">
      <alignment horizontal="center" vertical="center" wrapText="1"/>
    </xf>
    <xf numFmtId="0" fontId="11" fillId="0" borderId="37" xfId="0" applyFont="1" applyBorder="1" applyAlignment="1">
      <alignment horizontal="center" vertical="center"/>
    </xf>
    <xf numFmtId="0" fontId="16" fillId="0" borderId="0" xfId="0" applyFont="1" applyBorder="1" applyAlignment="1">
      <alignment horizontal="center" vertical="center" wrapText="1"/>
    </xf>
    <xf numFmtId="0" fontId="16" fillId="0" borderId="27" xfId="0" applyFont="1" applyBorder="1" applyAlignment="1">
      <alignment horizontal="center" vertical="center" wrapText="1"/>
    </xf>
    <xf numFmtId="0" fontId="0" fillId="0" borderId="0" xfId="0" applyBorder="1" applyAlignment="1">
      <alignment horizontal="center" vertical="center" wrapText="1"/>
    </xf>
    <xf numFmtId="0" fontId="11" fillId="2" borderId="0" xfId="0" applyFont="1" applyFill="1" applyBorder="1" applyAlignment="1">
      <alignment horizontal="center" vertical="center" wrapText="1"/>
    </xf>
    <xf numFmtId="0" fontId="11" fillId="10" borderId="0" xfId="0" applyFont="1" applyFill="1" applyBorder="1" applyAlignment="1">
      <alignment horizontal="center" vertical="center" wrapText="1"/>
    </xf>
    <xf numFmtId="3" fontId="11" fillId="10" borderId="24" xfId="0" applyNumberFormat="1" applyFont="1" applyFill="1" applyBorder="1" applyAlignment="1">
      <alignment horizontal="center" vertical="top"/>
    </xf>
    <xf numFmtId="3" fontId="11" fillId="0" borderId="24" xfId="0" applyNumberFormat="1" applyFont="1" applyBorder="1" applyAlignment="1">
      <alignment horizontal="center" vertical="top"/>
    </xf>
    <xf numFmtId="0" fontId="11" fillId="0" borderId="0" xfId="0" applyFont="1" applyBorder="1" applyAlignment="1">
      <alignment horizontal="center" vertical="center" wrapText="1"/>
    </xf>
    <xf numFmtId="0" fontId="16" fillId="0" borderId="28" xfId="0" applyFont="1" applyBorder="1" applyAlignment="1">
      <alignment horizontal="center" vertical="center" wrapText="1"/>
    </xf>
    <xf numFmtId="0" fontId="11" fillId="0" borderId="0" xfId="0" applyFont="1" applyBorder="1" applyAlignment="1">
      <alignment horizontal="center" vertical="center"/>
    </xf>
    <xf numFmtId="0" fontId="0" fillId="10" borderId="24" xfId="0" applyFill="1" applyBorder="1" applyAlignment="1">
      <alignment horizontal="center" vertical="center" wrapText="1"/>
    </xf>
    <xf numFmtId="0" fontId="0" fillId="10" borderId="0" xfId="0" applyFill="1" applyBorder="1" applyAlignment="1">
      <alignment horizontal="center" vertical="center" wrapText="1"/>
    </xf>
    <xf numFmtId="0" fontId="14" fillId="10" borderId="0" xfId="0" applyFont="1" applyFill="1" applyBorder="1" applyAlignment="1">
      <alignment horizontal="center" vertical="center" wrapText="1"/>
    </xf>
    <xf numFmtId="0" fontId="0" fillId="10" borderId="17" xfId="0" applyFill="1" applyBorder="1" applyAlignment="1">
      <alignment horizontal="center" vertical="center" wrapText="1"/>
    </xf>
    <xf numFmtId="2" fontId="16" fillId="10" borderId="0" xfId="0" applyNumberFormat="1" applyFont="1" applyFill="1" applyBorder="1" applyAlignment="1">
      <alignment horizontal="center" vertical="center" wrapText="1"/>
    </xf>
    <xf numFmtId="0" fontId="21" fillId="10" borderId="0"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6" fillId="0" borderId="17" xfId="0" applyFont="1" applyBorder="1" applyAlignment="1">
      <alignment horizontal="center" vertical="center" wrapText="1"/>
    </xf>
    <xf numFmtId="0" fontId="0" fillId="0" borderId="0" xfId="0" applyBorder="1" applyAlignment="1">
      <alignment horizontal="left" vertical="center" wrapText="1"/>
    </xf>
    <xf numFmtId="0" fontId="11" fillId="0" borderId="0" xfId="0" applyFont="1" applyBorder="1" applyAlignment="1">
      <alignment horizontal="left" vertical="center"/>
    </xf>
    <xf numFmtId="2" fontId="0" fillId="0" borderId="10" xfId="0" applyNumberFormat="1" applyFill="1" applyBorder="1" applyAlignment="1">
      <alignment horizontal="center" vertical="center" wrapText="1"/>
    </xf>
    <xf numFmtId="0" fontId="21" fillId="0" borderId="15" xfId="0" applyFont="1" applyFill="1" applyBorder="1" applyAlignment="1">
      <alignment horizontal="left" vertical="center"/>
    </xf>
    <xf numFmtId="2" fontId="0" fillId="0" borderId="11" xfId="0" applyNumberFormat="1" applyFill="1" applyBorder="1" applyAlignment="1">
      <alignment horizontal="center" vertical="center" wrapText="1"/>
    </xf>
    <xf numFmtId="2" fontId="0" fillId="0" borderId="12" xfId="0" applyNumberFormat="1" applyFill="1" applyBorder="1" applyAlignment="1">
      <alignment horizontal="center" vertical="center" wrapText="1"/>
    </xf>
    <xf numFmtId="0" fontId="0" fillId="0" borderId="7" xfId="0" applyFill="1" applyBorder="1" applyAlignment="1">
      <alignment horizontal="left" vertical="center" wrapText="1"/>
    </xf>
    <xf numFmtId="0" fontId="21" fillId="0" borderId="1" xfId="0" applyFont="1" applyFill="1" applyBorder="1" applyAlignment="1">
      <alignment horizontal="center" vertical="center" wrapText="1"/>
    </xf>
    <xf numFmtId="2" fontId="0" fillId="0" borderId="1" xfId="0" applyNumberFormat="1" applyFill="1" applyBorder="1" applyAlignment="1">
      <alignment horizontal="center" vertical="center" wrapText="1"/>
    </xf>
    <xf numFmtId="0" fontId="0" fillId="0" borderId="4" xfId="0" applyBorder="1" applyAlignment="1">
      <alignment horizontal="right" vertical="center" wrapText="1"/>
    </xf>
    <xf numFmtId="2" fontId="0" fillId="0" borderId="8" xfId="0" applyNumberFormat="1" applyBorder="1" applyAlignment="1">
      <alignment horizontal="righ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right" vertical="center"/>
    </xf>
    <xf numFmtId="2" fontId="0" fillId="0" borderId="1" xfId="0" applyNumberFormat="1" applyBorder="1" applyAlignment="1">
      <alignment horizontal="left" vertical="top"/>
    </xf>
  </cellXfs>
  <cellStyles count="4">
    <cellStyle name="Comma" xfId="1" builtinId="3"/>
    <cellStyle name="Normal" xfId="0" builtinId="0"/>
    <cellStyle name="Normal 2" xfId="2" xr:uid="{8E1986F8-04AD-44D2-A30F-23F1F5D5508B}"/>
    <cellStyle name="Normal 3" xfId="3" xr:uid="{B05EC9C8-91F4-4251-A04D-DC3344B42C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2" Type="http://schemas.openxmlformats.org/officeDocument/2006/relationships/hyperlink" Target="http://pod.ai/" TargetMode="External"/><Relationship Id="rId1" Type="http://schemas.openxmlformats.org/officeDocument/2006/relationships/hyperlink" Target="http://sreenidhi.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8"/>
  <sheetViews>
    <sheetView zoomScale="91" zoomScaleNormal="91" workbookViewId="0">
      <selection activeCell="Q19" sqref="Q19"/>
    </sheetView>
  </sheetViews>
  <sheetFormatPr defaultRowHeight="15.75"/>
  <cols>
    <col min="1" max="1" width="5.5703125" style="307" customWidth="1"/>
    <col min="2" max="2" width="17.7109375" style="307" customWidth="1"/>
    <col min="3" max="3" width="13.28515625" style="316" customWidth="1"/>
    <col min="4" max="4" width="28" style="307" customWidth="1"/>
    <col min="5" max="5" width="10.28515625" style="36" customWidth="1"/>
    <col min="6" max="6" width="9.5703125" style="36" customWidth="1"/>
    <col min="7" max="7" width="9.42578125" style="36" customWidth="1"/>
    <col min="8" max="8" width="9.85546875" style="36" customWidth="1"/>
    <col min="9" max="9" width="7.85546875" style="36" customWidth="1"/>
    <col min="10" max="10" width="20.42578125" style="36" customWidth="1"/>
    <col min="11" max="11" width="12" style="307" customWidth="1"/>
    <col min="12" max="16384" width="9.140625" style="307"/>
  </cols>
  <sheetData>
    <row r="1" spans="1:11" ht="66" customHeight="1">
      <c r="A1" s="469" t="s">
        <v>852</v>
      </c>
      <c r="B1" s="470"/>
      <c r="C1" s="470"/>
      <c r="D1" s="470"/>
      <c r="E1" s="470"/>
      <c r="F1" s="470"/>
      <c r="G1" s="470"/>
      <c r="H1" s="470"/>
      <c r="I1" s="470"/>
      <c r="J1" s="470"/>
      <c r="K1" s="470"/>
    </row>
    <row r="2" spans="1:11" ht="19.5" customHeight="1">
      <c r="A2" s="471" t="s">
        <v>828</v>
      </c>
      <c r="B2" s="472"/>
      <c r="C2" s="472"/>
      <c r="D2" s="472"/>
      <c r="E2" s="472"/>
      <c r="F2" s="472"/>
      <c r="G2" s="472"/>
      <c r="H2" s="472"/>
      <c r="I2" s="472"/>
      <c r="J2" s="472"/>
      <c r="K2" s="472"/>
    </row>
    <row r="3" spans="1:11" ht="17.25" customHeight="1">
      <c r="A3" s="473" t="s">
        <v>1</v>
      </c>
      <c r="B3" s="474"/>
      <c r="C3" s="474"/>
      <c r="D3" s="474"/>
      <c r="E3" s="474"/>
      <c r="F3" s="474"/>
      <c r="G3" s="474"/>
      <c r="H3" s="474"/>
      <c r="I3" s="474"/>
      <c r="J3" s="474"/>
      <c r="K3" s="474"/>
    </row>
    <row r="4" spans="1:11" ht="34.5" customHeight="1">
      <c r="A4" s="481" t="s">
        <v>48</v>
      </c>
      <c r="B4" s="482" t="s">
        <v>2</v>
      </c>
      <c r="C4" s="482"/>
      <c r="D4" s="482"/>
      <c r="E4" s="467" t="s">
        <v>3</v>
      </c>
      <c r="F4" s="468"/>
      <c r="G4" s="468"/>
      <c r="H4" s="468"/>
      <c r="I4" s="468"/>
      <c r="J4" s="467" t="s">
        <v>4</v>
      </c>
      <c r="K4" s="467" t="s">
        <v>811</v>
      </c>
    </row>
    <row r="5" spans="1:11" ht="47.85" customHeight="1">
      <c r="A5" s="481"/>
      <c r="B5" s="482"/>
      <c r="C5" s="482"/>
      <c r="D5" s="482"/>
      <c r="E5" s="2" t="s">
        <v>120</v>
      </c>
      <c r="F5" s="2" t="s">
        <v>121</v>
      </c>
      <c r="G5" s="2" t="s">
        <v>122</v>
      </c>
      <c r="H5" s="2" t="s">
        <v>123</v>
      </c>
      <c r="I5" s="2" t="s">
        <v>5</v>
      </c>
      <c r="J5" s="468"/>
      <c r="K5" s="468"/>
    </row>
    <row r="6" spans="1:11" s="308" customFormat="1" ht="17.25" customHeight="1">
      <c r="A6" s="479">
        <v>1</v>
      </c>
      <c r="B6" s="480" t="s">
        <v>92</v>
      </c>
      <c r="C6" s="483" t="s">
        <v>138</v>
      </c>
      <c r="D6" s="483"/>
      <c r="E6" s="484">
        <v>0</v>
      </c>
      <c r="F6" s="484">
        <v>0</v>
      </c>
      <c r="G6" s="484">
        <v>0</v>
      </c>
      <c r="H6" s="484">
        <v>91.2</v>
      </c>
      <c r="I6" s="484">
        <v>91.2</v>
      </c>
      <c r="J6" s="475"/>
      <c r="K6" s="475"/>
    </row>
    <row r="7" spans="1:11" s="308" customFormat="1" ht="17.25" customHeight="1">
      <c r="A7" s="479"/>
      <c r="B7" s="480"/>
      <c r="C7" s="483"/>
      <c r="D7" s="483"/>
      <c r="E7" s="484"/>
      <c r="F7" s="484"/>
      <c r="G7" s="484"/>
      <c r="H7" s="484"/>
      <c r="I7" s="484"/>
      <c r="J7" s="475"/>
      <c r="K7" s="475"/>
    </row>
    <row r="8" spans="1:11" s="308" customFormat="1" ht="17.25" customHeight="1">
      <c r="A8" s="479"/>
      <c r="B8" s="480"/>
      <c r="C8" s="483"/>
      <c r="D8" s="483"/>
      <c r="E8" s="484"/>
      <c r="F8" s="484"/>
      <c r="G8" s="484"/>
      <c r="H8" s="484"/>
      <c r="I8" s="484"/>
      <c r="J8" s="475"/>
      <c r="K8" s="475"/>
    </row>
    <row r="9" spans="1:11" s="308" customFormat="1" ht="17.25" customHeight="1">
      <c r="A9" s="479"/>
      <c r="B9" s="480"/>
      <c r="C9" s="483"/>
      <c r="D9" s="483"/>
      <c r="E9" s="484"/>
      <c r="F9" s="484"/>
      <c r="G9" s="484"/>
      <c r="H9" s="484"/>
      <c r="I9" s="484"/>
      <c r="J9" s="475"/>
      <c r="K9" s="475"/>
    </row>
    <row r="10" spans="1:11" s="308" customFormat="1" ht="17.25" customHeight="1">
      <c r="A10" s="479"/>
      <c r="B10" s="480"/>
      <c r="C10" s="483" t="s">
        <v>127</v>
      </c>
      <c r="D10" s="483"/>
      <c r="E10" s="475">
        <v>1.5</v>
      </c>
      <c r="F10" s="475">
        <v>0.75</v>
      </c>
      <c r="G10" s="475">
        <v>0.5</v>
      </c>
      <c r="H10" s="475">
        <v>4.5</v>
      </c>
      <c r="I10" s="475">
        <f>SUM(E10:H10)</f>
        <v>7.25</v>
      </c>
      <c r="J10" s="475"/>
      <c r="K10" s="475"/>
    </row>
    <row r="11" spans="1:11" s="308" customFormat="1" ht="17.25" customHeight="1">
      <c r="A11" s="479"/>
      <c r="B11" s="480"/>
      <c r="C11" s="483"/>
      <c r="D11" s="483"/>
      <c r="E11" s="475"/>
      <c r="F11" s="475"/>
      <c r="G11" s="475"/>
      <c r="H11" s="475"/>
      <c r="I11" s="475"/>
      <c r="J11" s="475"/>
      <c r="K11" s="475"/>
    </row>
    <row r="12" spans="1:11" s="308" customFormat="1" ht="17.25" customHeight="1">
      <c r="A12" s="479"/>
      <c r="B12" s="480"/>
      <c r="C12" s="483"/>
      <c r="D12" s="483"/>
      <c r="E12" s="475"/>
      <c r="F12" s="475"/>
      <c r="G12" s="475"/>
      <c r="H12" s="475"/>
      <c r="I12" s="475"/>
      <c r="J12" s="475"/>
      <c r="K12" s="475"/>
    </row>
    <row r="13" spans="1:11" s="308" customFormat="1" ht="17.25" customHeight="1">
      <c r="A13" s="479"/>
      <c r="B13" s="480"/>
      <c r="C13" s="483"/>
      <c r="D13" s="483"/>
      <c r="E13" s="475"/>
      <c r="F13" s="475"/>
      <c r="G13" s="475"/>
      <c r="H13" s="475"/>
      <c r="I13" s="475"/>
      <c r="J13" s="475"/>
      <c r="K13" s="475"/>
    </row>
    <row r="14" spans="1:11" s="308" customFormat="1" ht="17.25" customHeight="1">
      <c r="A14" s="479">
        <v>2</v>
      </c>
      <c r="B14" s="480" t="s">
        <v>126</v>
      </c>
      <c r="C14" s="483" t="s">
        <v>138</v>
      </c>
      <c r="D14" s="10" t="s">
        <v>139</v>
      </c>
      <c r="E14" s="38">
        <v>0</v>
      </c>
      <c r="F14" s="38">
        <v>0</v>
      </c>
      <c r="G14" s="38">
        <v>0</v>
      </c>
      <c r="H14" s="38">
        <v>0</v>
      </c>
      <c r="I14" s="38">
        <v>0</v>
      </c>
      <c r="J14" s="43"/>
      <c r="K14" s="50"/>
    </row>
    <row r="15" spans="1:11" s="308" customFormat="1" ht="17.25" customHeight="1">
      <c r="A15" s="479"/>
      <c r="B15" s="480"/>
      <c r="C15" s="483"/>
      <c r="D15" s="10" t="s">
        <v>785</v>
      </c>
      <c r="E15" s="31">
        <v>4</v>
      </c>
      <c r="F15" s="38">
        <v>0</v>
      </c>
      <c r="G15" s="38">
        <v>0</v>
      </c>
      <c r="H15" s="38">
        <v>0</v>
      </c>
      <c r="I15" s="31">
        <v>4</v>
      </c>
      <c r="J15" s="43"/>
      <c r="K15" s="50"/>
    </row>
    <row r="16" spans="1:11" s="308" customFormat="1" ht="17.25" customHeight="1">
      <c r="A16" s="479"/>
      <c r="B16" s="480"/>
      <c r="C16" s="483"/>
      <c r="D16" s="10" t="s">
        <v>510</v>
      </c>
      <c r="E16" s="31">
        <v>0.25</v>
      </c>
      <c r="F16" s="38">
        <v>0</v>
      </c>
      <c r="G16" s="38">
        <v>0</v>
      </c>
      <c r="H16" s="38">
        <v>0</v>
      </c>
      <c r="I16" s="31">
        <v>0.25</v>
      </c>
      <c r="J16" s="43"/>
      <c r="K16" s="50"/>
    </row>
    <row r="17" spans="1:19" s="308" customFormat="1" ht="17.25" customHeight="1">
      <c r="A17" s="479"/>
      <c r="B17" s="480"/>
      <c r="C17" s="483"/>
      <c r="D17" s="10" t="s">
        <v>77</v>
      </c>
      <c r="E17" s="38">
        <v>0</v>
      </c>
      <c r="F17" s="38">
        <v>0</v>
      </c>
      <c r="G17" s="38">
        <v>0</v>
      </c>
      <c r="H17" s="38">
        <v>0</v>
      </c>
      <c r="I17" s="38">
        <v>0</v>
      </c>
      <c r="J17" s="43"/>
      <c r="K17" s="50"/>
    </row>
    <row r="18" spans="1:19" s="308" customFormat="1" ht="17.25" customHeight="1">
      <c r="A18" s="479"/>
      <c r="B18" s="480"/>
      <c r="C18" s="483" t="s">
        <v>127</v>
      </c>
      <c r="D18" s="483"/>
      <c r="E18" s="475">
        <v>0.35</v>
      </c>
      <c r="F18" s="475">
        <v>0.25</v>
      </c>
      <c r="G18" s="475">
        <v>2.25</v>
      </c>
      <c r="H18" s="475">
        <v>2.25</v>
      </c>
      <c r="I18" s="475">
        <v>5.0999999999999996</v>
      </c>
      <c r="J18" s="475"/>
      <c r="K18" s="475"/>
    </row>
    <row r="19" spans="1:19" s="308" customFormat="1" ht="17.25" customHeight="1">
      <c r="A19" s="479"/>
      <c r="B19" s="480"/>
      <c r="C19" s="483"/>
      <c r="D19" s="483"/>
      <c r="E19" s="475"/>
      <c r="F19" s="475"/>
      <c r="G19" s="475"/>
      <c r="H19" s="475"/>
      <c r="I19" s="475"/>
      <c r="J19" s="475"/>
      <c r="K19" s="475"/>
    </row>
    <row r="20" spans="1:19" s="308" customFormat="1" ht="17.25" customHeight="1">
      <c r="A20" s="479"/>
      <c r="B20" s="480"/>
      <c r="C20" s="483"/>
      <c r="D20" s="483"/>
      <c r="E20" s="475"/>
      <c r="F20" s="475"/>
      <c r="G20" s="475"/>
      <c r="H20" s="475"/>
      <c r="I20" s="475"/>
      <c r="J20" s="475"/>
      <c r="K20" s="475"/>
    </row>
    <row r="21" spans="1:19" s="308" customFormat="1" ht="17.25" customHeight="1">
      <c r="A21" s="479"/>
      <c r="B21" s="480"/>
      <c r="C21" s="483"/>
      <c r="D21" s="483"/>
      <c r="E21" s="475"/>
      <c r="F21" s="475"/>
      <c r="G21" s="475"/>
      <c r="H21" s="475"/>
      <c r="I21" s="475"/>
      <c r="J21" s="475"/>
      <c r="K21" s="475"/>
    </row>
    <row r="22" spans="1:19" s="308" customFormat="1" ht="23.25" customHeight="1">
      <c r="A22" s="479">
        <v>3</v>
      </c>
      <c r="B22" s="480" t="s">
        <v>128</v>
      </c>
      <c r="C22" s="483" t="s">
        <v>138</v>
      </c>
      <c r="D22" s="483"/>
      <c r="E22" s="349">
        <v>591.20000000000005</v>
      </c>
      <c r="F22" s="349">
        <v>23.37</v>
      </c>
      <c r="G22" s="349">
        <v>66.400000000000006</v>
      </c>
      <c r="H22" s="349">
        <v>1</v>
      </c>
      <c r="I22" s="349">
        <v>681.97</v>
      </c>
      <c r="J22" s="131">
        <v>69.724999999999994</v>
      </c>
      <c r="K22" s="50"/>
    </row>
    <row r="23" spans="1:19" s="308" customFormat="1" ht="23.25" customHeight="1">
      <c r="A23" s="479"/>
      <c r="B23" s="480"/>
      <c r="C23" s="483" t="s">
        <v>127</v>
      </c>
      <c r="D23" s="483"/>
      <c r="E23" s="31">
        <v>5.5</v>
      </c>
      <c r="F23" s="31">
        <v>7.5</v>
      </c>
      <c r="G23" s="31">
        <v>5.5</v>
      </c>
      <c r="H23" s="31">
        <v>7.5</v>
      </c>
      <c r="I23" s="31">
        <v>26</v>
      </c>
      <c r="J23" s="31"/>
      <c r="K23" s="50"/>
    </row>
    <row r="24" spans="1:19" s="308" customFormat="1" ht="21" customHeight="1">
      <c r="A24" s="479">
        <v>4</v>
      </c>
      <c r="B24" s="480" t="s">
        <v>103</v>
      </c>
      <c r="C24" s="483" t="s">
        <v>138</v>
      </c>
      <c r="D24" s="483"/>
      <c r="E24" s="31">
        <v>1</v>
      </c>
      <c r="F24" s="31">
        <v>0</v>
      </c>
      <c r="G24" s="31">
        <v>0</v>
      </c>
      <c r="H24" s="31">
        <v>0</v>
      </c>
      <c r="I24" s="31">
        <v>1</v>
      </c>
      <c r="J24" s="31"/>
      <c r="K24" s="50"/>
    </row>
    <row r="25" spans="1:19" s="308" customFormat="1" ht="17.25" customHeight="1">
      <c r="A25" s="479"/>
      <c r="B25" s="480"/>
      <c r="C25" s="483" t="s">
        <v>127</v>
      </c>
      <c r="D25" s="483"/>
      <c r="E25" s="31">
        <v>0.7</v>
      </c>
      <c r="F25" s="31">
        <v>0.7</v>
      </c>
      <c r="G25" s="31">
        <v>0.7</v>
      </c>
      <c r="H25" s="31">
        <v>0.7</v>
      </c>
      <c r="I25" s="31">
        <v>2.8</v>
      </c>
      <c r="J25" s="31"/>
      <c r="K25" s="50"/>
    </row>
    <row r="26" spans="1:19" s="308" customFormat="1" ht="27" customHeight="1">
      <c r="A26" s="479">
        <v>5</v>
      </c>
      <c r="B26" s="480" t="s">
        <v>610</v>
      </c>
      <c r="C26" s="38" t="s">
        <v>138</v>
      </c>
      <c r="D26" s="10" t="s">
        <v>139</v>
      </c>
      <c r="E26" s="348">
        <v>52.72</v>
      </c>
      <c r="F26" s="348">
        <v>52.75</v>
      </c>
      <c r="G26" s="348">
        <v>52.75</v>
      </c>
      <c r="H26" s="348">
        <v>52.75</v>
      </c>
      <c r="I26" s="348">
        <v>211</v>
      </c>
      <c r="J26" s="31"/>
      <c r="K26" s="50"/>
    </row>
    <row r="27" spans="1:19" ht="15" customHeight="1">
      <c r="A27" s="479"/>
      <c r="B27" s="480"/>
      <c r="C27" s="483" t="s">
        <v>127</v>
      </c>
      <c r="D27" s="27" t="s">
        <v>95</v>
      </c>
      <c r="E27" s="345">
        <v>42.35</v>
      </c>
      <c r="F27" s="345">
        <v>10.7</v>
      </c>
      <c r="G27" s="345">
        <v>5.68</v>
      </c>
      <c r="H27" s="345"/>
      <c r="I27" s="345">
        <v>58.73</v>
      </c>
      <c r="J27" s="317"/>
      <c r="K27" s="53"/>
    </row>
    <row r="28" spans="1:19" ht="20.25" customHeight="1">
      <c r="A28" s="479"/>
      <c r="B28" s="480"/>
      <c r="C28" s="483"/>
      <c r="D28" s="27" t="s">
        <v>96</v>
      </c>
      <c r="E28" s="33">
        <v>5</v>
      </c>
      <c r="F28" s="33">
        <v>5</v>
      </c>
      <c r="G28" s="33">
        <v>5</v>
      </c>
      <c r="H28" s="33">
        <v>5</v>
      </c>
      <c r="I28" s="33">
        <v>20</v>
      </c>
      <c r="J28" s="317"/>
      <c r="K28" s="53"/>
    </row>
    <row r="29" spans="1:19" ht="35.25" customHeight="1">
      <c r="A29" s="479"/>
      <c r="B29" s="480"/>
      <c r="C29" s="483"/>
      <c r="D29" s="27" t="s">
        <v>97</v>
      </c>
      <c r="E29" s="33">
        <v>5</v>
      </c>
      <c r="F29" s="33">
        <v>5</v>
      </c>
      <c r="G29" s="33">
        <v>5</v>
      </c>
      <c r="H29" s="33">
        <v>5</v>
      </c>
      <c r="I29" s="33">
        <v>20</v>
      </c>
      <c r="J29" s="317"/>
      <c r="K29" s="53"/>
    </row>
    <row r="30" spans="1:19" ht="35.25" customHeight="1">
      <c r="A30" s="479"/>
      <c r="B30" s="480"/>
      <c r="C30" s="483"/>
      <c r="D30" s="27" t="s">
        <v>98</v>
      </c>
      <c r="E30" s="33">
        <v>0</v>
      </c>
      <c r="F30" s="33">
        <v>5</v>
      </c>
      <c r="G30" s="33">
        <v>0</v>
      </c>
      <c r="H30" s="33">
        <v>5</v>
      </c>
      <c r="I30" s="33">
        <v>10</v>
      </c>
      <c r="J30" s="317"/>
      <c r="K30" s="53"/>
      <c r="O30" s="309"/>
      <c r="P30" s="309"/>
      <c r="Q30" s="309"/>
      <c r="R30" s="310"/>
      <c r="S30" s="309"/>
    </row>
    <row r="31" spans="1:19" ht="18.75" customHeight="1">
      <c r="A31" s="479"/>
      <c r="B31" s="480"/>
      <c r="C31" s="483"/>
      <c r="D31" s="27" t="s">
        <v>99</v>
      </c>
      <c r="E31" s="33">
        <v>1</v>
      </c>
      <c r="F31" s="33">
        <v>1</v>
      </c>
      <c r="G31" s="33">
        <v>1</v>
      </c>
      <c r="H31" s="33">
        <v>1</v>
      </c>
      <c r="I31" s="33">
        <v>4</v>
      </c>
      <c r="J31" s="317"/>
      <c r="K31" s="53"/>
      <c r="O31" s="309"/>
      <c r="P31" s="309"/>
      <c r="Q31" s="309"/>
      <c r="R31" s="310"/>
      <c r="S31" s="309"/>
    </row>
    <row r="32" spans="1:19" ht="35.25" customHeight="1">
      <c r="A32" s="479"/>
      <c r="B32" s="480"/>
      <c r="C32" s="483"/>
      <c r="D32" s="27" t="s">
        <v>100</v>
      </c>
      <c r="E32" s="33">
        <v>0.5</v>
      </c>
      <c r="F32" s="33">
        <v>0.5</v>
      </c>
      <c r="G32" s="33">
        <v>0.5</v>
      </c>
      <c r="H32" s="33">
        <v>0.5</v>
      </c>
      <c r="I32" s="33">
        <v>2</v>
      </c>
      <c r="J32" s="317"/>
      <c r="K32" s="53"/>
      <c r="O32" s="309"/>
      <c r="P32" s="309"/>
      <c r="Q32" s="309"/>
      <c r="R32" s="310"/>
      <c r="S32" s="309"/>
    </row>
    <row r="33" spans="1:19" ht="35.25" customHeight="1">
      <c r="A33" s="479"/>
      <c r="B33" s="480"/>
      <c r="C33" s="483"/>
      <c r="D33" s="27" t="s">
        <v>101</v>
      </c>
      <c r="E33" s="33">
        <v>10</v>
      </c>
      <c r="F33" s="33">
        <v>0</v>
      </c>
      <c r="G33" s="33">
        <v>0</v>
      </c>
      <c r="H33" s="33">
        <v>0</v>
      </c>
      <c r="I33" s="33">
        <v>10</v>
      </c>
      <c r="J33" s="317"/>
      <c r="K33" s="53"/>
      <c r="O33" s="309"/>
      <c r="P33" s="309"/>
      <c r="Q33" s="309"/>
      <c r="R33" s="309"/>
      <c r="S33" s="309"/>
    </row>
    <row r="34" spans="1:19" ht="16.5" customHeight="1">
      <c r="A34" s="479"/>
      <c r="B34" s="480"/>
      <c r="C34" s="483"/>
      <c r="D34" s="27" t="s">
        <v>102</v>
      </c>
      <c r="E34" s="33">
        <v>1</v>
      </c>
      <c r="F34" s="33">
        <v>1</v>
      </c>
      <c r="G34" s="33">
        <v>1</v>
      </c>
      <c r="H34" s="33">
        <v>1</v>
      </c>
      <c r="I34" s="33">
        <v>4</v>
      </c>
      <c r="J34" s="317"/>
      <c r="K34" s="53"/>
      <c r="O34" s="309"/>
      <c r="P34" s="309"/>
      <c r="Q34" s="309"/>
      <c r="R34" s="309"/>
      <c r="S34" s="309"/>
    </row>
    <row r="35" spans="1:19" s="308" customFormat="1" ht="17.25" customHeight="1">
      <c r="A35" s="479">
        <v>6</v>
      </c>
      <c r="B35" s="480" t="s">
        <v>579</v>
      </c>
      <c r="C35" s="483" t="s">
        <v>138</v>
      </c>
      <c r="D35" s="10" t="s">
        <v>139</v>
      </c>
      <c r="E35" s="31">
        <v>0</v>
      </c>
      <c r="F35" s="31">
        <v>0</v>
      </c>
      <c r="G35" s="31">
        <v>0</v>
      </c>
      <c r="H35" s="31">
        <v>0</v>
      </c>
      <c r="I35" s="31">
        <v>0</v>
      </c>
      <c r="J35" s="31"/>
      <c r="K35" s="50"/>
      <c r="O35" s="311"/>
      <c r="P35" s="311"/>
      <c r="Q35" s="311"/>
      <c r="R35" s="311"/>
      <c r="S35" s="311"/>
    </row>
    <row r="36" spans="1:19" s="308" customFormat="1" ht="17.25" customHeight="1">
      <c r="A36" s="479"/>
      <c r="B36" s="480"/>
      <c r="C36" s="483"/>
      <c r="D36" s="10" t="s">
        <v>77</v>
      </c>
      <c r="E36" s="31">
        <v>0.95</v>
      </c>
      <c r="F36" s="31">
        <v>0</v>
      </c>
      <c r="G36" s="31">
        <v>0</v>
      </c>
      <c r="H36" s="31">
        <v>0</v>
      </c>
      <c r="I36" s="31">
        <f>SUM(E36:H36)</f>
        <v>0.95</v>
      </c>
      <c r="J36" s="31"/>
      <c r="K36" s="50"/>
      <c r="O36" s="311"/>
      <c r="P36" s="311"/>
      <c r="Q36" s="311"/>
      <c r="R36" s="311"/>
      <c r="S36" s="311"/>
    </row>
    <row r="37" spans="1:19" s="308" customFormat="1" ht="17.25" customHeight="1">
      <c r="A37" s="479"/>
      <c r="B37" s="480"/>
      <c r="C37" s="483" t="s">
        <v>127</v>
      </c>
      <c r="D37" s="10" t="s">
        <v>586</v>
      </c>
      <c r="E37" s="31">
        <v>15</v>
      </c>
      <c r="F37" s="31">
        <v>0</v>
      </c>
      <c r="G37" s="31">
        <v>0</v>
      </c>
      <c r="H37" s="31">
        <v>20</v>
      </c>
      <c r="I37" s="31">
        <f t="shared" ref="I37:I41" si="0">SUM(E37:H37)</f>
        <v>35</v>
      </c>
      <c r="J37" s="31"/>
      <c r="K37" s="50"/>
      <c r="O37" s="311"/>
      <c r="P37" s="311"/>
      <c r="Q37" s="311"/>
      <c r="R37" s="311"/>
      <c r="S37" s="311"/>
    </row>
    <row r="38" spans="1:19" s="308" customFormat="1" ht="17.25" customHeight="1">
      <c r="A38" s="479"/>
      <c r="B38" s="480"/>
      <c r="C38" s="483"/>
      <c r="D38" s="10" t="s">
        <v>589</v>
      </c>
      <c r="E38" s="31">
        <v>0</v>
      </c>
      <c r="F38" s="31">
        <v>1.5</v>
      </c>
      <c r="G38" s="31">
        <v>0</v>
      </c>
      <c r="H38" s="31">
        <v>0</v>
      </c>
      <c r="I38" s="31">
        <f t="shared" si="0"/>
        <v>1.5</v>
      </c>
      <c r="J38" s="31"/>
      <c r="K38" s="50"/>
      <c r="O38" s="311"/>
      <c r="P38" s="311"/>
      <c r="Q38" s="311"/>
      <c r="R38" s="311"/>
      <c r="S38" s="311"/>
    </row>
    <row r="39" spans="1:19" s="308" customFormat="1" ht="17.25" customHeight="1">
      <c r="A39" s="479"/>
      <c r="B39" s="480"/>
      <c r="C39" s="483"/>
      <c r="D39" s="10" t="s">
        <v>593</v>
      </c>
      <c r="E39" s="31">
        <v>1.04</v>
      </c>
      <c r="F39" s="31">
        <v>0</v>
      </c>
      <c r="G39" s="31">
        <v>0</v>
      </c>
      <c r="H39" s="31">
        <v>0</v>
      </c>
      <c r="I39" s="31">
        <f t="shared" si="0"/>
        <v>1.04</v>
      </c>
      <c r="J39" s="31"/>
      <c r="K39" s="50"/>
      <c r="O39" s="311"/>
      <c r="P39" s="311"/>
      <c r="Q39" s="311"/>
      <c r="R39" s="311"/>
      <c r="S39" s="311"/>
    </row>
    <row r="40" spans="1:19" s="308" customFormat="1" ht="17.25" customHeight="1">
      <c r="A40" s="479"/>
      <c r="B40" s="480"/>
      <c r="C40" s="483"/>
      <c r="D40" s="10" t="s">
        <v>786</v>
      </c>
      <c r="E40" s="31">
        <v>0</v>
      </c>
      <c r="F40" s="31">
        <v>2.5</v>
      </c>
      <c r="G40" s="31">
        <v>90</v>
      </c>
      <c r="H40" s="31">
        <v>0</v>
      </c>
      <c r="I40" s="31">
        <f t="shared" si="0"/>
        <v>92.5</v>
      </c>
      <c r="J40" s="31"/>
      <c r="K40" s="50"/>
    </row>
    <row r="41" spans="1:19" s="308" customFormat="1" ht="17.25" customHeight="1">
      <c r="A41" s="479"/>
      <c r="B41" s="480"/>
      <c r="C41" s="483"/>
      <c r="D41" s="10" t="s">
        <v>787</v>
      </c>
      <c r="E41" s="31">
        <v>7.4999999999999997E-2</v>
      </c>
      <c r="F41" s="31">
        <v>7.4999999999999997E-2</v>
      </c>
      <c r="G41" s="31">
        <v>7.4999999999999997E-2</v>
      </c>
      <c r="H41" s="31">
        <v>7.4999999999999997E-2</v>
      </c>
      <c r="I41" s="31">
        <f t="shared" si="0"/>
        <v>0.3</v>
      </c>
      <c r="J41" s="31"/>
      <c r="K41" s="50"/>
    </row>
    <row r="42" spans="1:19" s="308" customFormat="1" ht="17.25" customHeight="1">
      <c r="A42" s="479"/>
      <c r="B42" s="480"/>
      <c r="C42" s="483"/>
      <c r="D42" s="10" t="s">
        <v>77</v>
      </c>
      <c r="E42" s="34">
        <v>0</v>
      </c>
      <c r="F42" s="34">
        <v>0</v>
      </c>
      <c r="G42" s="34">
        <v>0</v>
      </c>
      <c r="H42" s="34">
        <v>0</v>
      </c>
      <c r="I42" s="34">
        <v>0</v>
      </c>
      <c r="J42" s="31"/>
      <c r="K42" s="50"/>
    </row>
    <row r="43" spans="1:19" s="308" customFormat="1" ht="17.25" customHeight="1">
      <c r="A43" s="479">
        <v>7</v>
      </c>
      <c r="B43" s="480" t="s">
        <v>119</v>
      </c>
      <c r="C43" s="483" t="s">
        <v>138</v>
      </c>
      <c r="D43" s="10" t="s">
        <v>139</v>
      </c>
      <c r="E43" s="322">
        <v>1.5</v>
      </c>
      <c r="F43" s="34">
        <v>0</v>
      </c>
      <c r="G43" s="34">
        <v>0</v>
      </c>
      <c r="H43" s="34">
        <v>0</v>
      </c>
      <c r="I43" s="322">
        <v>1.5</v>
      </c>
      <c r="J43" s="31"/>
      <c r="K43" s="50"/>
    </row>
    <row r="44" spans="1:19" s="308" customFormat="1" ht="17.25" customHeight="1">
      <c r="A44" s="479"/>
      <c r="B44" s="480"/>
      <c r="C44" s="483"/>
      <c r="D44" s="10" t="s">
        <v>77</v>
      </c>
      <c r="E44" s="322">
        <v>5</v>
      </c>
      <c r="F44" s="34">
        <v>0</v>
      </c>
      <c r="G44" s="34">
        <v>0</v>
      </c>
      <c r="H44" s="34">
        <v>0</v>
      </c>
      <c r="I44" s="322">
        <v>5</v>
      </c>
      <c r="J44" s="31"/>
      <c r="K44" s="50"/>
    </row>
    <row r="45" spans="1:19" s="308" customFormat="1" ht="17.25" customHeight="1">
      <c r="A45" s="479"/>
      <c r="B45" s="480"/>
      <c r="C45" s="483" t="s">
        <v>127</v>
      </c>
      <c r="D45" s="10" t="s">
        <v>158</v>
      </c>
      <c r="E45" s="322">
        <v>0.15</v>
      </c>
      <c r="F45" s="322">
        <v>0.15</v>
      </c>
      <c r="G45" s="322">
        <v>0.15</v>
      </c>
      <c r="H45" s="322">
        <v>0.15</v>
      </c>
      <c r="I45" s="322">
        <v>0.6</v>
      </c>
      <c r="J45" s="31"/>
      <c r="K45" s="50"/>
    </row>
    <row r="46" spans="1:19" s="308" customFormat="1" ht="20.25" customHeight="1">
      <c r="A46" s="479"/>
      <c r="B46" s="480"/>
      <c r="C46" s="483"/>
      <c r="D46" s="10" t="s">
        <v>77</v>
      </c>
      <c r="E46" s="322">
        <v>7.3</v>
      </c>
      <c r="F46" s="322">
        <v>7.3</v>
      </c>
      <c r="G46" s="322">
        <v>7.3</v>
      </c>
      <c r="H46" s="322">
        <v>7.3</v>
      </c>
      <c r="I46" s="322">
        <v>29.2</v>
      </c>
      <c r="J46" s="31"/>
      <c r="K46" s="50"/>
    </row>
    <row r="47" spans="1:19" s="308" customFormat="1" ht="17.25" customHeight="1">
      <c r="A47" s="479">
        <v>8</v>
      </c>
      <c r="B47" s="480" t="s">
        <v>124</v>
      </c>
      <c r="C47" s="483" t="s">
        <v>138</v>
      </c>
      <c r="D47" s="10" t="s">
        <v>139</v>
      </c>
      <c r="E47" s="48">
        <v>0</v>
      </c>
      <c r="F47" s="48">
        <v>0</v>
      </c>
      <c r="G47" s="48">
        <v>0</v>
      </c>
      <c r="H47" s="48">
        <v>0</v>
      </c>
      <c r="I47" s="48">
        <f t="shared" ref="I47:I50" si="1">SUM(E47:H47)</f>
        <v>0</v>
      </c>
      <c r="J47" s="48">
        <v>0.71</v>
      </c>
      <c r="K47" s="50"/>
    </row>
    <row r="48" spans="1:19" s="308" customFormat="1" ht="17.25" customHeight="1">
      <c r="A48" s="479"/>
      <c r="B48" s="480"/>
      <c r="C48" s="483"/>
      <c r="D48" s="10" t="s">
        <v>77</v>
      </c>
      <c r="E48" s="48">
        <v>0</v>
      </c>
      <c r="F48" s="48">
        <v>0</v>
      </c>
      <c r="G48" s="48">
        <v>0</v>
      </c>
      <c r="H48" s="48">
        <v>0</v>
      </c>
      <c r="I48" s="48">
        <f t="shared" si="1"/>
        <v>0</v>
      </c>
      <c r="J48" s="48">
        <v>0</v>
      </c>
      <c r="K48" s="50"/>
    </row>
    <row r="49" spans="1:11" s="308" customFormat="1" ht="17.25" customHeight="1">
      <c r="A49" s="479"/>
      <c r="B49" s="480"/>
      <c r="C49" s="483" t="s">
        <v>127</v>
      </c>
      <c r="D49" s="10" t="s">
        <v>158</v>
      </c>
      <c r="E49" s="48">
        <v>3.2599999999999997E-2</v>
      </c>
      <c r="F49" s="48">
        <v>3.2599999999999997E-2</v>
      </c>
      <c r="G49" s="48">
        <v>3.2599999999999997E-2</v>
      </c>
      <c r="H49" s="48">
        <v>3.2599999999999997E-2</v>
      </c>
      <c r="I49" s="48">
        <f>SUM(E49:H49)</f>
        <v>0.13039999999999999</v>
      </c>
      <c r="J49" s="48">
        <v>6.5000000000000002E-2</v>
      </c>
      <c r="K49" s="50"/>
    </row>
    <row r="50" spans="1:11" s="308" customFormat="1" ht="20.25" customHeight="1">
      <c r="A50" s="479"/>
      <c r="B50" s="480"/>
      <c r="C50" s="483"/>
      <c r="D50" s="10" t="s">
        <v>77</v>
      </c>
      <c r="E50" s="48">
        <v>1.9750000000000001</v>
      </c>
      <c r="F50" s="48">
        <v>1.9750000000000001</v>
      </c>
      <c r="G50" s="48">
        <v>1.9750000000000001</v>
      </c>
      <c r="H50" s="48">
        <v>1.9750000000000001</v>
      </c>
      <c r="I50" s="48">
        <f t="shared" si="1"/>
        <v>7.9</v>
      </c>
      <c r="J50" s="323"/>
      <c r="K50" s="50"/>
    </row>
    <row r="51" spans="1:11" s="308" customFormat="1" ht="17.25" customHeight="1">
      <c r="A51" s="479">
        <v>9</v>
      </c>
      <c r="B51" s="480" t="s">
        <v>129</v>
      </c>
      <c r="C51" s="483" t="s">
        <v>138</v>
      </c>
      <c r="D51" s="10" t="s">
        <v>139</v>
      </c>
      <c r="E51" s="31">
        <v>2.0899999999999998E-2</v>
      </c>
      <c r="F51" s="31">
        <v>2.0899999999999998E-2</v>
      </c>
      <c r="G51" s="31">
        <v>2.0899999999999998E-2</v>
      </c>
      <c r="H51" s="31">
        <v>2.0899999999999998E-2</v>
      </c>
      <c r="I51" s="31">
        <f>SUM(E51:H51)</f>
        <v>8.3599999999999994E-2</v>
      </c>
      <c r="J51" s="31"/>
      <c r="K51" s="50"/>
    </row>
    <row r="52" spans="1:11" s="308" customFormat="1" ht="17.25" customHeight="1">
      <c r="A52" s="479"/>
      <c r="B52" s="480"/>
      <c r="C52" s="483"/>
      <c r="D52" s="10" t="s">
        <v>77</v>
      </c>
      <c r="E52" s="31">
        <v>0.105</v>
      </c>
      <c r="F52" s="31">
        <v>0.105</v>
      </c>
      <c r="G52" s="31">
        <v>0.105</v>
      </c>
      <c r="H52" s="31">
        <v>0.105</v>
      </c>
      <c r="I52" s="31">
        <f t="shared" ref="I52:I54" si="2">SUM(E52:H52)</f>
        <v>0.42</v>
      </c>
      <c r="J52" s="31"/>
      <c r="K52" s="50"/>
    </row>
    <row r="53" spans="1:11" s="308" customFormat="1" ht="17.25" customHeight="1">
      <c r="A53" s="479"/>
      <c r="B53" s="480"/>
      <c r="C53" s="483" t="s">
        <v>127</v>
      </c>
      <c r="D53" s="10" t="s">
        <v>158</v>
      </c>
      <c r="E53" s="31">
        <v>0.13</v>
      </c>
      <c r="F53" s="31">
        <v>0.13</v>
      </c>
      <c r="G53" s="31">
        <v>0.13</v>
      </c>
      <c r="H53" s="31">
        <v>0.13</v>
      </c>
      <c r="I53" s="31">
        <f t="shared" si="2"/>
        <v>0.52</v>
      </c>
      <c r="J53" s="31"/>
      <c r="K53" s="50"/>
    </row>
    <row r="54" spans="1:11" s="308" customFormat="1" ht="20.25" customHeight="1">
      <c r="A54" s="479"/>
      <c r="B54" s="480"/>
      <c r="C54" s="483"/>
      <c r="D54" s="10" t="s">
        <v>77</v>
      </c>
      <c r="E54" s="31">
        <v>8.1000000000000003E-2</v>
      </c>
      <c r="F54" s="31">
        <v>8.1000000000000003E-2</v>
      </c>
      <c r="G54" s="31">
        <v>8.1000000000000003E-2</v>
      </c>
      <c r="H54" s="31">
        <v>8.1000000000000003E-2</v>
      </c>
      <c r="I54" s="31">
        <f t="shared" si="2"/>
        <v>0.32400000000000001</v>
      </c>
      <c r="J54" s="31"/>
      <c r="K54" s="50"/>
    </row>
    <row r="55" spans="1:11" s="308" customFormat="1" ht="21.75" customHeight="1">
      <c r="A55" s="479">
        <v>10</v>
      </c>
      <c r="B55" s="480" t="s">
        <v>130</v>
      </c>
      <c r="C55" s="483" t="s">
        <v>138</v>
      </c>
      <c r="D55" s="10" t="s">
        <v>139</v>
      </c>
      <c r="E55" s="322"/>
      <c r="F55" s="322"/>
      <c r="G55" s="322"/>
      <c r="H55" s="322"/>
      <c r="I55" s="322"/>
      <c r="J55" s="31"/>
      <c r="K55" s="477" t="s">
        <v>810</v>
      </c>
    </row>
    <row r="56" spans="1:11" s="308" customFormat="1" ht="21.75" customHeight="1">
      <c r="A56" s="479"/>
      <c r="B56" s="480"/>
      <c r="C56" s="483"/>
      <c r="D56" s="10" t="s">
        <v>77</v>
      </c>
      <c r="E56" s="322"/>
      <c r="F56" s="322"/>
      <c r="G56" s="322"/>
      <c r="H56" s="322"/>
      <c r="I56" s="322"/>
      <c r="J56" s="31"/>
      <c r="K56" s="477"/>
    </row>
    <row r="57" spans="1:11" s="308" customFormat="1" ht="21.75" customHeight="1">
      <c r="A57" s="479"/>
      <c r="B57" s="480"/>
      <c r="C57" s="483" t="s">
        <v>127</v>
      </c>
      <c r="D57" s="10" t="s">
        <v>158</v>
      </c>
      <c r="E57" s="322"/>
      <c r="F57" s="322"/>
      <c r="G57" s="322"/>
      <c r="H57" s="322"/>
      <c r="I57" s="322"/>
      <c r="J57" s="31"/>
      <c r="K57" s="477"/>
    </row>
    <row r="58" spans="1:11" s="308" customFormat="1" ht="21.75" customHeight="1">
      <c r="A58" s="479"/>
      <c r="B58" s="480"/>
      <c r="C58" s="483"/>
      <c r="D58" s="10" t="s">
        <v>77</v>
      </c>
      <c r="E58" s="322"/>
      <c r="F58" s="322"/>
      <c r="G58" s="322"/>
      <c r="H58" s="322"/>
      <c r="I58" s="322"/>
      <c r="J58" s="31"/>
      <c r="K58" s="477"/>
    </row>
    <row r="59" spans="1:11" s="308" customFormat="1" ht="17.25" customHeight="1">
      <c r="A59" s="479">
        <v>11</v>
      </c>
      <c r="B59" s="480" t="s">
        <v>118</v>
      </c>
      <c r="C59" s="483" t="s">
        <v>138</v>
      </c>
      <c r="D59" s="10" t="s">
        <v>139</v>
      </c>
      <c r="E59" s="124">
        <v>5.92</v>
      </c>
      <c r="F59" s="30">
        <v>1.3</v>
      </c>
      <c r="G59" s="124">
        <v>0</v>
      </c>
      <c r="H59" s="124">
        <v>0</v>
      </c>
      <c r="I59" s="324">
        <f>SUM(E59:H59)</f>
        <v>7.22</v>
      </c>
      <c r="J59" s="325">
        <v>6.99</v>
      </c>
      <c r="K59" s="50"/>
    </row>
    <row r="60" spans="1:11" s="308" customFormat="1" ht="17.25" customHeight="1">
      <c r="A60" s="479"/>
      <c r="B60" s="480"/>
      <c r="C60" s="483"/>
      <c r="D60" s="10" t="s">
        <v>77</v>
      </c>
      <c r="E60" s="124">
        <v>0</v>
      </c>
      <c r="F60" s="124">
        <v>10</v>
      </c>
      <c r="G60" s="124">
        <v>1</v>
      </c>
      <c r="H60" s="124">
        <v>0</v>
      </c>
      <c r="I60" s="324">
        <f>SUM(E60:H60)</f>
        <v>11</v>
      </c>
      <c r="J60" s="124">
        <v>0</v>
      </c>
      <c r="K60" s="50"/>
    </row>
    <row r="61" spans="1:11" s="308" customFormat="1" ht="17.25" customHeight="1">
      <c r="A61" s="479"/>
      <c r="B61" s="480"/>
      <c r="C61" s="483" t="s">
        <v>127</v>
      </c>
      <c r="D61" s="10" t="s">
        <v>139</v>
      </c>
      <c r="E61" s="124">
        <v>2.19</v>
      </c>
      <c r="F61" s="30">
        <v>0</v>
      </c>
      <c r="G61" s="30">
        <v>0</v>
      </c>
      <c r="H61" s="30">
        <v>0</v>
      </c>
      <c r="I61" s="324">
        <f>SUM(E61:H61)</f>
        <v>2.19</v>
      </c>
      <c r="J61" s="324">
        <v>7.1</v>
      </c>
      <c r="K61" s="50"/>
    </row>
    <row r="62" spans="1:11" s="308" customFormat="1" ht="17.25" customHeight="1">
      <c r="A62" s="479"/>
      <c r="B62" s="480"/>
      <c r="C62" s="483"/>
      <c r="D62" s="10" t="s">
        <v>77</v>
      </c>
      <c r="E62" s="326">
        <v>1.1000000000000001</v>
      </c>
      <c r="F62" s="124">
        <v>0.23</v>
      </c>
      <c r="G62" s="124">
        <v>0.74299999999999999</v>
      </c>
      <c r="H62" s="124">
        <v>0</v>
      </c>
      <c r="I62" s="324">
        <f>SUM(E62:H62)</f>
        <v>2.073</v>
      </c>
      <c r="J62" s="124">
        <v>0</v>
      </c>
      <c r="K62" s="50"/>
    </row>
    <row r="63" spans="1:11" s="308" customFormat="1" ht="17.25" customHeight="1">
      <c r="A63" s="479">
        <v>12</v>
      </c>
      <c r="B63" s="480" t="s">
        <v>27</v>
      </c>
      <c r="C63" s="483" t="s">
        <v>138</v>
      </c>
      <c r="D63" s="10" t="s">
        <v>139</v>
      </c>
      <c r="E63" s="48">
        <v>0.2</v>
      </c>
      <c r="F63" s="48">
        <v>0.2</v>
      </c>
      <c r="G63" s="48">
        <v>5.2</v>
      </c>
      <c r="H63" s="48">
        <v>0.2</v>
      </c>
      <c r="I63" s="48">
        <f>SUM(E63:H63)</f>
        <v>5.8000000000000007</v>
      </c>
      <c r="J63" s="31"/>
      <c r="K63" s="327"/>
    </row>
    <row r="64" spans="1:11" s="308" customFormat="1" ht="17.25" customHeight="1">
      <c r="A64" s="479"/>
      <c r="B64" s="480"/>
      <c r="C64" s="483"/>
      <c r="D64" s="10" t="s">
        <v>77</v>
      </c>
      <c r="E64" s="48">
        <v>0.1</v>
      </c>
      <c r="F64" s="48">
        <v>0.1</v>
      </c>
      <c r="G64" s="48">
        <v>0.1</v>
      </c>
      <c r="H64" s="48">
        <v>25.1</v>
      </c>
      <c r="I64" s="48">
        <f t="shared" ref="I64:I66" si="3">SUM(E64:H64)</f>
        <v>25.400000000000002</v>
      </c>
      <c r="J64" s="31"/>
      <c r="K64" s="327"/>
    </row>
    <row r="65" spans="1:11" s="308" customFormat="1" ht="17.25" customHeight="1">
      <c r="A65" s="479"/>
      <c r="B65" s="480"/>
      <c r="C65" s="483" t="s">
        <v>127</v>
      </c>
      <c r="D65" s="10" t="s">
        <v>139</v>
      </c>
      <c r="E65" s="48">
        <v>0.5</v>
      </c>
      <c r="F65" s="48">
        <v>0.5</v>
      </c>
      <c r="G65" s="48">
        <v>0.5</v>
      </c>
      <c r="H65" s="48">
        <v>0.5</v>
      </c>
      <c r="I65" s="48">
        <f t="shared" si="3"/>
        <v>2</v>
      </c>
      <c r="J65" s="31"/>
      <c r="K65" s="327"/>
    </row>
    <row r="66" spans="1:11" s="308" customFormat="1" ht="17.25" customHeight="1">
      <c r="A66" s="479"/>
      <c r="B66" s="480"/>
      <c r="C66" s="483"/>
      <c r="D66" s="10" t="s">
        <v>77</v>
      </c>
      <c r="E66" s="48">
        <v>0.52</v>
      </c>
      <c r="F66" s="48">
        <v>0.52</v>
      </c>
      <c r="G66" s="48">
        <v>1.52</v>
      </c>
      <c r="H66" s="48">
        <v>0.52</v>
      </c>
      <c r="I66" s="48">
        <f t="shared" si="3"/>
        <v>3.08</v>
      </c>
      <c r="J66" s="31"/>
      <c r="K66" s="327"/>
    </row>
    <row r="67" spans="1:11" s="308" customFormat="1" ht="17.25" customHeight="1">
      <c r="A67" s="485">
        <v>13</v>
      </c>
      <c r="B67" s="483" t="s">
        <v>28</v>
      </c>
      <c r="C67" s="483" t="s">
        <v>138</v>
      </c>
      <c r="D67" s="10" t="s">
        <v>108</v>
      </c>
      <c r="E67" s="31">
        <v>188</v>
      </c>
      <c r="F67" s="31">
        <v>188</v>
      </c>
      <c r="G67" s="31">
        <v>0</v>
      </c>
      <c r="H67" s="31">
        <v>0</v>
      </c>
      <c r="I67" s="31">
        <f>SUM(E67:H67)</f>
        <v>376</v>
      </c>
      <c r="J67" s="37"/>
      <c r="K67" s="327"/>
    </row>
    <row r="68" spans="1:11" s="308" customFormat="1" ht="17.25" customHeight="1">
      <c r="A68" s="485"/>
      <c r="B68" s="483"/>
      <c r="C68" s="483"/>
      <c r="D68" s="10" t="s">
        <v>109</v>
      </c>
      <c r="E68" s="31">
        <v>7.3</v>
      </c>
      <c r="F68" s="31">
        <v>7.3</v>
      </c>
      <c r="G68" s="31">
        <v>0</v>
      </c>
      <c r="H68" s="31">
        <v>0</v>
      </c>
      <c r="I68" s="31">
        <f t="shared" ref="I68:I76" si="4">SUM(E68:H68)</f>
        <v>14.6</v>
      </c>
      <c r="J68" s="37"/>
      <c r="K68" s="327"/>
    </row>
    <row r="69" spans="1:11" s="308" customFormat="1" ht="15.75" customHeight="1">
      <c r="A69" s="485"/>
      <c r="B69" s="483"/>
      <c r="C69" s="483"/>
      <c r="D69" s="10" t="s">
        <v>110</v>
      </c>
      <c r="E69" s="31">
        <v>5</v>
      </c>
      <c r="F69" s="31">
        <v>5</v>
      </c>
      <c r="G69" s="31">
        <v>0</v>
      </c>
      <c r="H69" s="31">
        <v>0</v>
      </c>
      <c r="I69" s="31">
        <f t="shared" si="4"/>
        <v>10</v>
      </c>
      <c r="J69" s="37"/>
      <c r="K69" s="327"/>
    </row>
    <row r="70" spans="1:11" s="308" customFormat="1" ht="17.25" customHeight="1">
      <c r="A70" s="485"/>
      <c r="B70" s="483"/>
      <c r="C70" s="483"/>
      <c r="D70" s="10" t="s">
        <v>111</v>
      </c>
      <c r="E70" s="31">
        <v>11.6</v>
      </c>
      <c r="F70" s="31">
        <v>11.6</v>
      </c>
      <c r="G70" s="31">
        <v>0</v>
      </c>
      <c r="H70" s="31">
        <v>0</v>
      </c>
      <c r="I70" s="31">
        <f t="shared" si="4"/>
        <v>23.2</v>
      </c>
      <c r="J70" s="37"/>
      <c r="K70" s="327"/>
    </row>
    <row r="71" spans="1:11" s="308" customFormat="1" ht="17.25" customHeight="1">
      <c r="A71" s="485"/>
      <c r="B71" s="483"/>
      <c r="C71" s="483"/>
      <c r="D71" s="10" t="s">
        <v>112</v>
      </c>
      <c r="E71" s="31">
        <v>5</v>
      </c>
      <c r="F71" s="31">
        <v>5</v>
      </c>
      <c r="G71" s="31">
        <v>0</v>
      </c>
      <c r="H71" s="31">
        <v>0</v>
      </c>
      <c r="I71" s="31">
        <f t="shared" si="4"/>
        <v>10</v>
      </c>
      <c r="J71" s="37"/>
      <c r="K71" s="327"/>
    </row>
    <row r="72" spans="1:11" s="308" customFormat="1" ht="17.25" customHeight="1">
      <c r="A72" s="485"/>
      <c r="B72" s="483"/>
      <c r="C72" s="483"/>
      <c r="D72" s="10" t="s">
        <v>113</v>
      </c>
      <c r="E72" s="31">
        <v>0</v>
      </c>
      <c r="F72" s="31">
        <v>4.4000000000000004</v>
      </c>
      <c r="G72" s="31">
        <v>0</v>
      </c>
      <c r="H72" s="31">
        <v>0</v>
      </c>
      <c r="I72" s="31">
        <f t="shared" si="4"/>
        <v>4.4000000000000004</v>
      </c>
      <c r="J72" s="37"/>
      <c r="K72" s="327"/>
    </row>
    <row r="73" spans="1:11" s="308" customFormat="1" ht="29.25" customHeight="1">
      <c r="A73" s="485"/>
      <c r="B73" s="483"/>
      <c r="C73" s="483"/>
      <c r="D73" s="10" t="s">
        <v>114</v>
      </c>
      <c r="E73" s="31">
        <v>65</v>
      </c>
      <c r="F73" s="31">
        <v>65</v>
      </c>
      <c r="G73" s="31">
        <v>0</v>
      </c>
      <c r="H73" s="31">
        <v>0</v>
      </c>
      <c r="I73" s="31">
        <f t="shared" si="4"/>
        <v>130</v>
      </c>
      <c r="J73" s="37"/>
      <c r="K73" s="50"/>
    </row>
    <row r="74" spans="1:11" s="308" customFormat="1" ht="17.25" customHeight="1">
      <c r="A74" s="485"/>
      <c r="B74" s="483"/>
      <c r="C74" s="483"/>
      <c r="D74" s="10" t="s">
        <v>115</v>
      </c>
      <c r="E74" s="31">
        <v>0.8</v>
      </c>
      <c r="F74" s="31"/>
      <c r="G74" s="31">
        <v>0</v>
      </c>
      <c r="H74" s="31">
        <v>0</v>
      </c>
      <c r="I74" s="31">
        <f t="shared" si="4"/>
        <v>0.8</v>
      </c>
      <c r="J74" s="37"/>
      <c r="K74" s="50"/>
    </row>
    <row r="75" spans="1:11" s="308" customFormat="1" ht="17.25" customHeight="1">
      <c r="A75" s="485"/>
      <c r="B75" s="483"/>
      <c r="C75" s="483"/>
      <c r="D75" s="10" t="s">
        <v>116</v>
      </c>
      <c r="E75" s="31">
        <v>75</v>
      </c>
      <c r="F75" s="31">
        <v>75</v>
      </c>
      <c r="G75" s="31">
        <v>0</v>
      </c>
      <c r="H75" s="31">
        <v>0</v>
      </c>
      <c r="I75" s="31">
        <f t="shared" si="4"/>
        <v>150</v>
      </c>
      <c r="J75" s="37"/>
      <c r="K75" s="50"/>
    </row>
    <row r="76" spans="1:11" s="308" customFormat="1" ht="16.5" customHeight="1">
      <c r="A76" s="485"/>
      <c r="B76" s="483"/>
      <c r="C76" s="483"/>
      <c r="D76" s="10" t="s">
        <v>117</v>
      </c>
      <c r="E76" s="31">
        <v>0</v>
      </c>
      <c r="F76" s="31">
        <v>48.6</v>
      </c>
      <c r="G76" s="31">
        <v>48.6</v>
      </c>
      <c r="H76" s="31">
        <v>0</v>
      </c>
      <c r="I76" s="31">
        <f t="shared" si="4"/>
        <v>97.2</v>
      </c>
      <c r="J76" s="37"/>
      <c r="K76" s="50"/>
    </row>
    <row r="77" spans="1:11" s="308" customFormat="1" ht="17.25" customHeight="1">
      <c r="A77" s="485"/>
      <c r="B77" s="483"/>
      <c r="C77" s="483" t="s">
        <v>127</v>
      </c>
      <c r="D77" s="10" t="s">
        <v>69</v>
      </c>
      <c r="E77" s="31">
        <v>1.75</v>
      </c>
      <c r="F77" s="31">
        <v>1.75</v>
      </c>
      <c r="G77" s="31">
        <v>1.75</v>
      </c>
      <c r="H77" s="31">
        <v>1.75</v>
      </c>
      <c r="I77" s="31">
        <f>SUM(E77:H77)</f>
        <v>7</v>
      </c>
      <c r="J77" s="31"/>
      <c r="K77" s="50"/>
    </row>
    <row r="78" spans="1:11" s="308" customFormat="1" ht="17.25" customHeight="1">
      <c r="A78" s="485"/>
      <c r="B78" s="483"/>
      <c r="C78" s="483"/>
      <c r="D78" s="10" t="s">
        <v>104</v>
      </c>
      <c r="E78" s="31">
        <v>0</v>
      </c>
      <c r="F78" s="31"/>
      <c r="G78" s="31"/>
      <c r="H78" s="31">
        <v>0.3</v>
      </c>
      <c r="I78" s="31">
        <f>SUM(E78:H78)</f>
        <v>0.3</v>
      </c>
      <c r="J78" s="31"/>
      <c r="K78" s="50"/>
    </row>
    <row r="79" spans="1:11" s="308" customFormat="1" ht="17.25" customHeight="1">
      <c r="A79" s="485"/>
      <c r="B79" s="483"/>
      <c r="C79" s="483"/>
      <c r="D79" s="10" t="s">
        <v>105</v>
      </c>
      <c r="E79" s="31">
        <v>0</v>
      </c>
      <c r="F79" s="31">
        <v>4.13</v>
      </c>
      <c r="G79" s="31">
        <v>4.13</v>
      </c>
      <c r="H79" s="31">
        <v>4.13</v>
      </c>
      <c r="I79" s="31">
        <f>SUM(F79:H79)</f>
        <v>12.39</v>
      </c>
      <c r="J79" s="31"/>
      <c r="K79" s="50"/>
    </row>
    <row r="80" spans="1:11" s="308" customFormat="1" ht="34.5" customHeight="1">
      <c r="A80" s="485"/>
      <c r="B80" s="483"/>
      <c r="C80" s="483"/>
      <c r="D80" s="10" t="s">
        <v>106</v>
      </c>
      <c r="E80" s="31">
        <v>0</v>
      </c>
      <c r="F80" s="31">
        <v>0</v>
      </c>
      <c r="G80" s="31">
        <v>0.34200000000000003</v>
      </c>
      <c r="H80" s="31">
        <v>0.34200000000000003</v>
      </c>
      <c r="I80" s="31">
        <f>SUM(G80:H80)</f>
        <v>0.68400000000000005</v>
      </c>
      <c r="J80" s="31"/>
      <c r="K80" s="50"/>
    </row>
    <row r="81" spans="1:12" s="308" customFormat="1" ht="17.25" customHeight="1">
      <c r="A81" s="485"/>
      <c r="B81" s="483"/>
      <c r="C81" s="483"/>
      <c r="D81" s="10" t="s">
        <v>107</v>
      </c>
      <c r="E81" s="31">
        <v>0</v>
      </c>
      <c r="F81" s="31">
        <v>0</v>
      </c>
      <c r="G81" s="31">
        <v>1.65</v>
      </c>
      <c r="H81" s="31">
        <v>1.65</v>
      </c>
      <c r="I81" s="31">
        <f>SUM(G81:H81)</f>
        <v>3.3</v>
      </c>
      <c r="J81" s="31"/>
      <c r="K81" s="50"/>
    </row>
    <row r="82" spans="1:12" s="308" customFormat="1" ht="26.25" customHeight="1">
      <c r="A82" s="485">
        <v>14</v>
      </c>
      <c r="B82" s="483" t="s">
        <v>756</v>
      </c>
      <c r="C82" s="483" t="s">
        <v>138</v>
      </c>
      <c r="D82" s="328" t="s">
        <v>707</v>
      </c>
      <c r="E82" s="31">
        <v>50.19</v>
      </c>
      <c r="F82" s="31"/>
      <c r="G82" s="31"/>
      <c r="H82" s="31"/>
      <c r="I82" s="31">
        <f t="shared" ref="I82:I90" si="5">SUM(E82:H82)</f>
        <v>50.19</v>
      </c>
      <c r="J82" s="312"/>
      <c r="K82" s="329"/>
      <c r="L82" s="313"/>
    </row>
    <row r="83" spans="1:12" s="308" customFormat="1" ht="26.25" customHeight="1">
      <c r="A83" s="485"/>
      <c r="B83" s="483"/>
      <c r="C83" s="483"/>
      <c r="D83" s="330" t="s">
        <v>709</v>
      </c>
      <c r="E83" s="31">
        <v>5.4</v>
      </c>
      <c r="F83" s="31">
        <v>1.92</v>
      </c>
      <c r="G83" s="31">
        <v>1.92</v>
      </c>
      <c r="H83" s="31">
        <v>1.92</v>
      </c>
      <c r="I83" s="31">
        <f t="shared" si="5"/>
        <v>11.16</v>
      </c>
      <c r="J83" s="312"/>
      <c r="K83" s="329"/>
      <c r="L83" s="313"/>
    </row>
    <row r="84" spans="1:12" s="308" customFormat="1" ht="26.25" customHeight="1">
      <c r="A84" s="485"/>
      <c r="B84" s="483"/>
      <c r="C84" s="483" t="s">
        <v>127</v>
      </c>
      <c r="D84" s="331" t="s">
        <v>651</v>
      </c>
      <c r="E84" s="332">
        <v>2.1150000000000002</v>
      </c>
      <c r="F84" s="332">
        <v>2.1150000000000002</v>
      </c>
      <c r="G84" s="332">
        <v>2.1150000000000002</v>
      </c>
      <c r="H84" s="332">
        <v>2.1150000000000002</v>
      </c>
      <c r="I84" s="332">
        <f t="shared" si="5"/>
        <v>8.4600000000000009</v>
      </c>
      <c r="J84" s="314"/>
      <c r="K84" s="329"/>
      <c r="L84" s="315"/>
    </row>
    <row r="85" spans="1:12" s="308" customFormat="1" ht="17.25" customHeight="1">
      <c r="A85" s="485"/>
      <c r="B85" s="483"/>
      <c r="C85" s="483"/>
      <c r="D85" s="331" t="s">
        <v>652</v>
      </c>
      <c r="E85" s="332">
        <v>1.44</v>
      </c>
      <c r="F85" s="332">
        <v>1.44</v>
      </c>
      <c r="G85" s="332">
        <v>1.44</v>
      </c>
      <c r="H85" s="332">
        <v>1.44</v>
      </c>
      <c r="I85" s="332">
        <f t="shared" si="5"/>
        <v>5.76</v>
      </c>
      <c r="J85" s="50"/>
      <c r="K85" s="50"/>
    </row>
    <row r="86" spans="1:12" s="308" customFormat="1" ht="17.25" customHeight="1">
      <c r="A86" s="485"/>
      <c r="B86" s="483"/>
      <c r="C86" s="483"/>
      <c r="D86" s="331" t="s">
        <v>653</v>
      </c>
      <c r="E86" s="333">
        <v>210.85</v>
      </c>
      <c r="F86" s="334"/>
      <c r="G86" s="334"/>
      <c r="H86" s="334"/>
      <c r="I86" s="333">
        <f t="shared" si="5"/>
        <v>210.85</v>
      </c>
      <c r="J86" s="50"/>
      <c r="K86" s="50"/>
    </row>
    <row r="87" spans="1:12" s="308" customFormat="1" ht="16.5" customHeight="1">
      <c r="A87" s="485"/>
      <c r="B87" s="483"/>
      <c r="C87" s="483"/>
      <c r="D87" s="331" t="s">
        <v>654</v>
      </c>
      <c r="E87" s="333">
        <v>2.8</v>
      </c>
      <c r="F87" s="333">
        <v>2.8</v>
      </c>
      <c r="G87" s="333">
        <v>0.3</v>
      </c>
      <c r="H87" s="333">
        <v>0.3</v>
      </c>
      <c r="I87" s="333">
        <f t="shared" si="5"/>
        <v>6.1999999999999993</v>
      </c>
      <c r="J87" s="37"/>
      <c r="K87" s="50"/>
    </row>
    <row r="88" spans="1:12" s="308" customFormat="1" ht="17.25" customHeight="1">
      <c r="A88" s="485"/>
      <c r="B88" s="483"/>
      <c r="C88" s="483"/>
      <c r="D88" s="331" t="s">
        <v>655</v>
      </c>
      <c r="E88" s="333">
        <v>3.71</v>
      </c>
      <c r="F88" s="333">
        <v>7.09</v>
      </c>
      <c r="G88" s="333">
        <v>7.09</v>
      </c>
      <c r="H88" s="333">
        <v>7.09</v>
      </c>
      <c r="I88" s="333">
        <f t="shared" si="5"/>
        <v>24.98</v>
      </c>
      <c r="J88" s="31"/>
      <c r="K88" s="50"/>
    </row>
    <row r="89" spans="1:12" s="308" customFormat="1" ht="25.5" customHeight="1">
      <c r="A89" s="485"/>
      <c r="B89" s="483"/>
      <c r="C89" s="483"/>
      <c r="D89" s="335" t="s">
        <v>656</v>
      </c>
      <c r="E89" s="333">
        <v>7.125</v>
      </c>
      <c r="F89" s="333">
        <v>7.125</v>
      </c>
      <c r="G89" s="333">
        <v>0</v>
      </c>
      <c r="H89" s="333">
        <v>0</v>
      </c>
      <c r="I89" s="333">
        <f t="shared" si="5"/>
        <v>14.25</v>
      </c>
      <c r="J89" s="31"/>
      <c r="K89" s="50"/>
    </row>
    <row r="90" spans="1:12" s="308" customFormat="1" ht="17.25" customHeight="1">
      <c r="A90" s="485"/>
      <c r="B90" s="483"/>
      <c r="C90" s="483"/>
      <c r="D90" s="335" t="s">
        <v>657</v>
      </c>
      <c r="E90" s="333">
        <v>5.7</v>
      </c>
      <c r="F90" s="333">
        <v>0</v>
      </c>
      <c r="G90" s="333">
        <v>0</v>
      </c>
      <c r="H90" s="333">
        <v>0</v>
      </c>
      <c r="I90" s="333">
        <f t="shared" si="5"/>
        <v>5.7</v>
      </c>
      <c r="J90" s="31"/>
      <c r="K90" s="50"/>
    </row>
    <row r="91" spans="1:12" s="308" customFormat="1" ht="34.5" customHeight="1">
      <c r="A91" s="485"/>
      <c r="B91" s="483"/>
      <c r="C91" s="483"/>
      <c r="D91" s="335" t="s">
        <v>701</v>
      </c>
      <c r="E91" s="333">
        <v>10</v>
      </c>
      <c r="F91" s="333">
        <v>0</v>
      </c>
      <c r="G91" s="333">
        <v>0</v>
      </c>
      <c r="H91" s="333">
        <v>0</v>
      </c>
      <c r="I91" s="333">
        <f t="shared" ref="I91:I92" si="6">SUM(E91:H91)</f>
        <v>10</v>
      </c>
      <c r="J91" s="31"/>
      <c r="K91" s="50"/>
    </row>
    <row r="92" spans="1:12" s="308" customFormat="1" ht="17.25" customHeight="1">
      <c r="A92" s="485"/>
      <c r="B92" s="483"/>
      <c r="C92" s="483"/>
      <c r="D92" s="335" t="s">
        <v>703</v>
      </c>
      <c r="E92" s="333">
        <v>4</v>
      </c>
      <c r="F92" s="333">
        <v>0</v>
      </c>
      <c r="G92" s="333">
        <v>0</v>
      </c>
      <c r="H92" s="333">
        <v>0</v>
      </c>
      <c r="I92" s="333">
        <f t="shared" si="6"/>
        <v>4</v>
      </c>
      <c r="J92" s="31"/>
      <c r="K92" s="50"/>
    </row>
    <row r="93" spans="1:12" s="308" customFormat="1" ht="17.25" customHeight="1">
      <c r="A93" s="479">
        <v>15</v>
      </c>
      <c r="B93" s="480" t="s">
        <v>29</v>
      </c>
      <c r="C93" s="483" t="s">
        <v>138</v>
      </c>
      <c r="D93" s="10" t="s">
        <v>30</v>
      </c>
      <c r="E93" s="31"/>
      <c r="F93" s="31"/>
      <c r="G93" s="31"/>
      <c r="H93" s="31"/>
      <c r="I93" s="31"/>
      <c r="J93" s="31"/>
      <c r="K93" s="478" t="s">
        <v>757</v>
      </c>
    </row>
    <row r="94" spans="1:12" s="308" customFormat="1" ht="17.25" customHeight="1">
      <c r="A94" s="479"/>
      <c r="B94" s="480"/>
      <c r="C94" s="483"/>
      <c r="D94" s="10" t="s">
        <v>77</v>
      </c>
      <c r="E94" s="31"/>
      <c r="F94" s="31"/>
      <c r="G94" s="31"/>
      <c r="H94" s="31"/>
      <c r="I94" s="31"/>
      <c r="J94" s="31"/>
      <c r="K94" s="478"/>
    </row>
    <row r="95" spans="1:12" s="308" customFormat="1" ht="17.25" customHeight="1">
      <c r="A95" s="479"/>
      <c r="B95" s="480"/>
      <c r="C95" s="483" t="s">
        <v>127</v>
      </c>
      <c r="D95" s="10" t="s">
        <v>788</v>
      </c>
      <c r="E95" s="31"/>
      <c r="F95" s="31"/>
      <c r="G95" s="31"/>
      <c r="H95" s="31"/>
      <c r="I95" s="31"/>
      <c r="J95" s="31"/>
      <c r="K95" s="478"/>
    </row>
    <row r="96" spans="1:12" s="308" customFormat="1" ht="18" customHeight="1">
      <c r="A96" s="479"/>
      <c r="B96" s="480"/>
      <c r="C96" s="483"/>
      <c r="D96" s="10" t="s">
        <v>77</v>
      </c>
      <c r="E96" s="31"/>
      <c r="F96" s="31"/>
      <c r="G96" s="31"/>
      <c r="H96" s="31"/>
      <c r="I96" s="31"/>
      <c r="J96" s="31"/>
      <c r="K96" s="478"/>
    </row>
    <row r="97" spans="1:11" s="308" customFormat="1">
      <c r="A97" s="479">
        <v>16</v>
      </c>
      <c r="B97" s="480" t="s">
        <v>32</v>
      </c>
      <c r="C97" s="480" t="s">
        <v>138</v>
      </c>
      <c r="D97" s="480"/>
      <c r="E97" s="31"/>
      <c r="F97" s="31"/>
      <c r="G97" s="31"/>
      <c r="H97" s="31"/>
      <c r="I97" s="31"/>
      <c r="J97" s="31"/>
      <c r="K97" s="477" t="s">
        <v>810</v>
      </c>
    </row>
    <row r="98" spans="1:11" s="308" customFormat="1">
      <c r="A98" s="479"/>
      <c r="B98" s="480"/>
      <c r="C98" s="480" t="s">
        <v>127</v>
      </c>
      <c r="D98" s="480"/>
      <c r="E98" s="336"/>
      <c r="F98" s="336"/>
      <c r="G98" s="336"/>
      <c r="H98" s="336"/>
      <c r="I98" s="336"/>
      <c r="J98" s="31"/>
      <c r="K98" s="477"/>
    </row>
    <row r="99" spans="1:11" s="308" customFormat="1">
      <c r="A99" s="479">
        <v>17</v>
      </c>
      <c r="B99" s="480" t="s">
        <v>789</v>
      </c>
      <c r="C99" s="480" t="s">
        <v>138</v>
      </c>
      <c r="D99" s="480"/>
      <c r="E99" s="31"/>
      <c r="F99" s="31"/>
      <c r="G99" s="31"/>
      <c r="H99" s="31"/>
      <c r="I99" s="31"/>
      <c r="J99" s="31"/>
      <c r="K99" s="477" t="s">
        <v>810</v>
      </c>
    </row>
    <row r="100" spans="1:11" s="308" customFormat="1" ht="30.75" customHeight="1">
      <c r="A100" s="479"/>
      <c r="B100" s="487"/>
      <c r="C100" s="480" t="s">
        <v>127</v>
      </c>
      <c r="D100" s="480"/>
      <c r="E100" s="31"/>
      <c r="F100" s="31"/>
      <c r="G100" s="31"/>
      <c r="H100" s="31"/>
      <c r="I100" s="31"/>
      <c r="J100" s="34"/>
      <c r="K100" s="477"/>
    </row>
    <row r="101" spans="1:11" s="308" customFormat="1">
      <c r="A101" s="479">
        <v>18</v>
      </c>
      <c r="B101" s="480" t="s">
        <v>33</v>
      </c>
      <c r="C101" s="480" t="s">
        <v>138</v>
      </c>
      <c r="D101" s="480"/>
      <c r="E101" s="31"/>
      <c r="F101" s="31"/>
      <c r="G101" s="31"/>
      <c r="H101" s="31"/>
      <c r="I101" s="31"/>
      <c r="J101" s="34"/>
      <c r="K101" s="477" t="s">
        <v>810</v>
      </c>
    </row>
    <row r="102" spans="1:11" s="308" customFormat="1">
      <c r="A102" s="479"/>
      <c r="B102" s="480"/>
      <c r="C102" s="480" t="s">
        <v>127</v>
      </c>
      <c r="D102" s="480"/>
      <c r="E102" s="31"/>
      <c r="F102" s="31"/>
      <c r="G102" s="31"/>
      <c r="H102" s="31"/>
      <c r="I102" s="31"/>
      <c r="J102" s="34"/>
      <c r="K102" s="477"/>
    </row>
    <row r="103" spans="1:11" s="308" customFormat="1">
      <c r="A103" s="479">
        <v>19</v>
      </c>
      <c r="B103" s="480" t="s">
        <v>34</v>
      </c>
      <c r="C103" s="483" t="s">
        <v>138</v>
      </c>
      <c r="D103" s="10" t="s">
        <v>139</v>
      </c>
      <c r="E103" s="31">
        <v>0.93</v>
      </c>
      <c r="F103" s="31">
        <v>0</v>
      </c>
      <c r="G103" s="31">
        <v>0</v>
      </c>
      <c r="H103" s="31">
        <v>0</v>
      </c>
      <c r="I103" s="31">
        <v>0.93</v>
      </c>
      <c r="J103" s="31"/>
      <c r="K103" s="50"/>
    </row>
    <row r="104" spans="1:11" s="308" customFormat="1">
      <c r="A104" s="479"/>
      <c r="B104" s="480"/>
      <c r="C104" s="483"/>
      <c r="D104" s="10" t="s">
        <v>77</v>
      </c>
      <c r="E104" s="31">
        <v>0</v>
      </c>
      <c r="F104" s="31">
        <v>0</v>
      </c>
      <c r="G104" s="31">
        <v>0</v>
      </c>
      <c r="H104" s="31">
        <v>0</v>
      </c>
      <c r="I104" s="31">
        <v>0</v>
      </c>
      <c r="J104" s="34"/>
      <c r="K104" s="50"/>
    </row>
    <row r="105" spans="1:11" s="308" customFormat="1">
      <c r="A105" s="479"/>
      <c r="B105" s="480"/>
      <c r="C105" s="483" t="s">
        <v>127</v>
      </c>
      <c r="D105" s="10" t="s">
        <v>139</v>
      </c>
      <c r="E105" s="31">
        <v>9.65</v>
      </c>
      <c r="F105" s="31">
        <v>0</v>
      </c>
      <c r="G105" s="31">
        <v>3.05</v>
      </c>
      <c r="H105" s="31">
        <v>0</v>
      </c>
      <c r="I105" s="31">
        <f>SUM(E105:H105)</f>
        <v>12.7</v>
      </c>
      <c r="J105" s="31"/>
      <c r="K105" s="50"/>
    </row>
    <row r="106" spans="1:11" s="308" customFormat="1">
      <c r="A106" s="479"/>
      <c r="B106" s="480"/>
      <c r="C106" s="483"/>
      <c r="D106" s="10" t="s">
        <v>77</v>
      </c>
      <c r="E106" s="31">
        <v>0</v>
      </c>
      <c r="F106" s="31">
        <v>0</v>
      </c>
      <c r="G106" s="31">
        <v>0</v>
      </c>
      <c r="H106" s="31">
        <v>0</v>
      </c>
      <c r="I106" s="31">
        <v>0</v>
      </c>
      <c r="J106" s="34"/>
      <c r="K106" s="50"/>
    </row>
    <row r="107" spans="1:11" s="308" customFormat="1">
      <c r="A107" s="479">
        <v>20</v>
      </c>
      <c r="B107" s="480" t="s">
        <v>35</v>
      </c>
      <c r="C107" s="480" t="s">
        <v>138</v>
      </c>
      <c r="D107" s="480"/>
      <c r="E107" s="31"/>
      <c r="F107" s="31"/>
      <c r="G107" s="31"/>
      <c r="H107" s="31"/>
      <c r="I107" s="31"/>
      <c r="J107" s="34"/>
      <c r="K107" s="477" t="s">
        <v>810</v>
      </c>
    </row>
    <row r="108" spans="1:11" s="308" customFormat="1">
      <c r="A108" s="479"/>
      <c r="B108" s="480"/>
      <c r="C108" s="480" t="s">
        <v>127</v>
      </c>
      <c r="D108" s="480"/>
      <c r="E108" s="31"/>
      <c r="F108" s="31"/>
      <c r="G108" s="31"/>
      <c r="H108" s="31"/>
      <c r="I108" s="31"/>
      <c r="J108" s="34"/>
      <c r="K108" s="477"/>
    </row>
    <row r="109" spans="1:11" s="308" customFormat="1">
      <c r="A109" s="479">
        <v>21</v>
      </c>
      <c r="B109" s="480" t="s">
        <v>36</v>
      </c>
      <c r="C109" s="480" t="s">
        <v>138</v>
      </c>
      <c r="D109" s="480"/>
      <c r="E109" s="31">
        <v>5</v>
      </c>
      <c r="F109" s="31">
        <v>5</v>
      </c>
      <c r="G109" s="31">
        <v>5</v>
      </c>
      <c r="H109" s="31">
        <v>5</v>
      </c>
      <c r="I109" s="31">
        <v>20</v>
      </c>
      <c r="J109" s="42" t="s">
        <v>125</v>
      </c>
      <c r="K109" s="50"/>
    </row>
    <row r="110" spans="1:11" s="308" customFormat="1">
      <c r="A110" s="479"/>
      <c r="B110" s="480"/>
      <c r="C110" s="480" t="s">
        <v>127</v>
      </c>
      <c r="D110" s="480"/>
      <c r="E110" s="31">
        <v>10</v>
      </c>
      <c r="F110" s="31">
        <v>10</v>
      </c>
      <c r="G110" s="31">
        <v>15</v>
      </c>
      <c r="H110" s="31">
        <v>15</v>
      </c>
      <c r="I110" s="31">
        <v>50</v>
      </c>
      <c r="J110" s="42" t="s">
        <v>125</v>
      </c>
      <c r="K110" s="50"/>
    </row>
    <row r="111" spans="1:11" s="308" customFormat="1">
      <c r="A111" s="479">
        <v>22</v>
      </c>
      <c r="B111" s="480" t="s">
        <v>37</v>
      </c>
      <c r="C111" s="480" t="s">
        <v>138</v>
      </c>
      <c r="D111" s="480"/>
      <c r="E111" s="124">
        <f>2.5 + 0.24+0.15+0.25</f>
        <v>3.14</v>
      </c>
      <c r="F111" s="124">
        <f>0.2+0.26+0.25+0.35+0.25+0.15</f>
        <v>1.46</v>
      </c>
      <c r="G111" s="124">
        <f>0.2+0.15</f>
        <v>0.35</v>
      </c>
      <c r="H111" s="124">
        <f>2+0.15</f>
        <v>2.15</v>
      </c>
      <c r="I111" s="124">
        <f t="shared" ref="I111:I112" si="7">SUM(E111:H111)</f>
        <v>7.1</v>
      </c>
      <c r="J111" s="34"/>
      <c r="K111" s="50"/>
    </row>
    <row r="112" spans="1:11" s="308" customFormat="1">
      <c r="A112" s="479"/>
      <c r="B112" s="480"/>
      <c r="C112" s="480" t="s">
        <v>127</v>
      </c>
      <c r="D112" s="480"/>
      <c r="E112" s="124">
        <v>1.35</v>
      </c>
      <c r="F112" s="124">
        <v>1.35</v>
      </c>
      <c r="G112" s="124">
        <v>1.35</v>
      </c>
      <c r="H112" s="124">
        <v>1.35</v>
      </c>
      <c r="I112" s="124">
        <f t="shared" si="7"/>
        <v>5.4</v>
      </c>
      <c r="J112" s="34"/>
      <c r="K112" s="50"/>
    </row>
    <row r="113" spans="1:11" s="308" customFormat="1">
      <c r="A113" s="479">
        <v>23</v>
      </c>
      <c r="B113" s="480" t="s">
        <v>38</v>
      </c>
      <c r="C113" s="480" t="s">
        <v>138</v>
      </c>
      <c r="D113" s="480"/>
      <c r="E113" s="31"/>
      <c r="F113" s="31"/>
      <c r="G113" s="31"/>
      <c r="H113" s="31"/>
      <c r="I113" s="31"/>
      <c r="J113" s="34"/>
      <c r="K113" s="477" t="s">
        <v>810</v>
      </c>
    </row>
    <row r="114" spans="1:11" s="308" customFormat="1">
      <c r="A114" s="479"/>
      <c r="B114" s="480"/>
      <c r="C114" s="480" t="s">
        <v>127</v>
      </c>
      <c r="D114" s="480"/>
      <c r="E114" s="31"/>
      <c r="F114" s="31"/>
      <c r="G114" s="31"/>
      <c r="H114" s="31"/>
      <c r="I114" s="31"/>
      <c r="J114" s="34"/>
      <c r="K114" s="477"/>
    </row>
    <row r="115" spans="1:11" s="308" customFormat="1">
      <c r="A115" s="479">
        <v>24</v>
      </c>
      <c r="B115" s="480" t="s">
        <v>94</v>
      </c>
      <c r="C115" s="480" t="s">
        <v>138</v>
      </c>
      <c r="D115" s="480"/>
      <c r="E115" s="31">
        <v>1.5</v>
      </c>
      <c r="F115" s="31">
        <v>0</v>
      </c>
      <c r="G115" s="31">
        <v>0</v>
      </c>
      <c r="H115" s="31">
        <v>0</v>
      </c>
      <c r="I115" s="31">
        <f>SUM(E115:H115)</f>
        <v>1.5</v>
      </c>
      <c r="J115" s="34"/>
      <c r="K115" s="50"/>
    </row>
    <row r="116" spans="1:11" s="308" customFormat="1">
      <c r="A116" s="479"/>
      <c r="B116" s="480"/>
      <c r="C116" s="480" t="s">
        <v>127</v>
      </c>
      <c r="D116" s="480"/>
      <c r="E116" s="34">
        <v>1.01</v>
      </c>
      <c r="F116" s="34">
        <v>0</v>
      </c>
      <c r="G116" s="34">
        <v>0</v>
      </c>
      <c r="H116" s="34">
        <v>1</v>
      </c>
      <c r="I116" s="31">
        <f>SUM(E116:H116)</f>
        <v>2.0099999999999998</v>
      </c>
      <c r="J116" s="34"/>
      <c r="K116" s="50"/>
    </row>
    <row r="117" spans="1:11" s="308" customFormat="1">
      <c r="A117" s="479">
        <v>24</v>
      </c>
      <c r="B117" s="480" t="s">
        <v>759</v>
      </c>
      <c r="C117" s="480" t="s">
        <v>138</v>
      </c>
      <c r="D117" s="480"/>
      <c r="E117" s="34">
        <v>0.5</v>
      </c>
      <c r="F117" s="50"/>
      <c r="G117" s="50"/>
      <c r="H117" s="50"/>
      <c r="I117" s="34">
        <v>0.5</v>
      </c>
      <c r="J117" s="34"/>
      <c r="K117" s="50"/>
    </row>
    <row r="118" spans="1:11" s="308" customFormat="1">
      <c r="A118" s="479"/>
      <c r="B118" s="480"/>
      <c r="C118" s="480" t="s">
        <v>127</v>
      </c>
      <c r="D118" s="480"/>
      <c r="E118" s="34">
        <v>9.8354999999999997</v>
      </c>
      <c r="F118" s="34">
        <v>6.3354999999999997</v>
      </c>
      <c r="G118" s="34">
        <v>9.8354999999999997</v>
      </c>
      <c r="H118" s="34">
        <v>6.3354999999999997</v>
      </c>
      <c r="I118" s="31">
        <f>SUM(E118:H118)</f>
        <v>32.341999999999999</v>
      </c>
      <c r="J118" s="34"/>
      <c r="K118" s="50"/>
    </row>
    <row r="119" spans="1:11" s="308" customFormat="1">
      <c r="A119" s="479">
        <v>24</v>
      </c>
      <c r="B119" s="480" t="s">
        <v>790</v>
      </c>
      <c r="C119" s="480" t="s">
        <v>138</v>
      </c>
      <c r="D119" s="480"/>
      <c r="E119" s="34">
        <v>0.5</v>
      </c>
      <c r="F119" s="318">
        <v>0</v>
      </c>
      <c r="G119" s="318">
        <v>0</v>
      </c>
      <c r="H119" s="318">
        <v>0</v>
      </c>
      <c r="I119" s="34">
        <v>0.5</v>
      </c>
      <c r="J119" s="34"/>
      <c r="K119" s="50"/>
    </row>
    <row r="120" spans="1:11" s="308" customFormat="1">
      <c r="A120" s="479"/>
      <c r="B120" s="480"/>
      <c r="C120" s="480" t="s">
        <v>127</v>
      </c>
      <c r="D120" s="480"/>
      <c r="E120" s="34">
        <v>1.2</v>
      </c>
      <c r="F120" s="34">
        <v>3.7</v>
      </c>
      <c r="G120" s="34">
        <v>3.4</v>
      </c>
      <c r="H120" s="34">
        <v>3.2</v>
      </c>
      <c r="I120" s="31">
        <v>11.5</v>
      </c>
      <c r="J120" s="34"/>
      <c r="K120" s="50"/>
    </row>
    <row r="121" spans="1:11" s="308" customFormat="1">
      <c r="A121" s="479">
        <v>25</v>
      </c>
      <c r="B121" s="480" t="s">
        <v>39</v>
      </c>
      <c r="C121" s="480" t="s">
        <v>138</v>
      </c>
      <c r="D121" s="480"/>
      <c r="E121" s="31"/>
      <c r="F121" s="31"/>
      <c r="G121" s="31"/>
      <c r="H121" s="31"/>
      <c r="I121" s="31"/>
      <c r="J121" s="34"/>
      <c r="K121" s="477" t="s">
        <v>810</v>
      </c>
    </row>
    <row r="122" spans="1:11" s="308" customFormat="1">
      <c r="A122" s="479"/>
      <c r="B122" s="480"/>
      <c r="C122" s="480" t="s">
        <v>127</v>
      </c>
      <c r="D122" s="480"/>
      <c r="E122" s="31"/>
      <c r="F122" s="31"/>
      <c r="G122" s="31"/>
      <c r="H122" s="31"/>
      <c r="I122" s="31"/>
      <c r="J122" s="34"/>
      <c r="K122" s="477"/>
    </row>
    <row r="123" spans="1:11" s="308" customFormat="1">
      <c r="A123" s="479">
        <v>26</v>
      </c>
      <c r="B123" s="480" t="s">
        <v>40</v>
      </c>
      <c r="C123" s="480" t="s">
        <v>138</v>
      </c>
      <c r="D123" s="480"/>
      <c r="E123" s="31">
        <v>0</v>
      </c>
      <c r="F123" s="31">
        <v>0</v>
      </c>
      <c r="G123" s="31">
        <v>0</v>
      </c>
      <c r="H123" s="31">
        <v>0</v>
      </c>
      <c r="I123" s="31">
        <v>0</v>
      </c>
      <c r="J123" s="34"/>
      <c r="K123" s="50"/>
    </row>
    <row r="124" spans="1:11" s="308" customFormat="1">
      <c r="A124" s="479"/>
      <c r="B124" s="480"/>
      <c r="C124" s="480" t="s">
        <v>127</v>
      </c>
      <c r="D124" s="480"/>
      <c r="E124" s="31">
        <v>1.4</v>
      </c>
      <c r="F124" s="31">
        <v>1.4</v>
      </c>
      <c r="G124" s="31">
        <v>1.4</v>
      </c>
      <c r="H124" s="31">
        <v>1.4</v>
      </c>
      <c r="I124" s="31">
        <f>SUM(E124:H124)</f>
        <v>5.6</v>
      </c>
      <c r="J124" s="34"/>
      <c r="K124" s="50"/>
    </row>
    <row r="125" spans="1:11" s="308" customFormat="1">
      <c r="A125" s="479">
        <v>27</v>
      </c>
      <c r="B125" s="480" t="s">
        <v>41</v>
      </c>
      <c r="C125" s="480" t="s">
        <v>138</v>
      </c>
      <c r="D125" s="480"/>
      <c r="E125" s="31"/>
      <c r="F125" s="31"/>
      <c r="G125" s="31"/>
      <c r="H125" s="31"/>
      <c r="I125" s="31"/>
      <c r="J125" s="34"/>
      <c r="K125" s="477" t="s">
        <v>810</v>
      </c>
    </row>
    <row r="126" spans="1:11" s="308" customFormat="1">
      <c r="A126" s="479"/>
      <c r="B126" s="480"/>
      <c r="C126" s="480" t="s">
        <v>127</v>
      </c>
      <c r="D126" s="480"/>
      <c r="E126" s="31"/>
      <c r="F126" s="31"/>
      <c r="G126" s="31"/>
      <c r="H126" s="31"/>
      <c r="I126" s="31"/>
      <c r="J126" s="34"/>
      <c r="K126" s="477"/>
    </row>
    <row r="127" spans="1:11" s="308" customFormat="1">
      <c r="A127" s="479">
        <v>28</v>
      </c>
      <c r="B127" s="480" t="s">
        <v>93</v>
      </c>
      <c r="C127" s="480" t="s">
        <v>138</v>
      </c>
      <c r="D127" s="480"/>
      <c r="E127" s="31">
        <v>0.67</v>
      </c>
      <c r="F127" s="31">
        <v>0.67</v>
      </c>
      <c r="G127" s="31">
        <v>0.67</v>
      </c>
      <c r="H127" s="31">
        <v>0.67</v>
      </c>
      <c r="I127" s="31">
        <f>SUM(E127:H127)</f>
        <v>2.68</v>
      </c>
      <c r="J127" s="31">
        <v>2.5</v>
      </c>
      <c r="K127" s="50"/>
    </row>
    <row r="128" spans="1:11" s="308" customFormat="1">
      <c r="A128" s="479"/>
      <c r="B128" s="480"/>
      <c r="C128" s="480" t="s">
        <v>127</v>
      </c>
      <c r="D128" s="480"/>
      <c r="E128" s="31">
        <v>0.15</v>
      </c>
      <c r="F128" s="31">
        <v>0.15</v>
      </c>
      <c r="G128" s="31">
        <v>0.15</v>
      </c>
      <c r="H128" s="31">
        <v>0.15</v>
      </c>
      <c r="I128" s="31">
        <f>SUM(E128:H128)</f>
        <v>0.6</v>
      </c>
      <c r="J128" s="31">
        <v>0.27</v>
      </c>
      <c r="K128" s="50"/>
    </row>
    <row r="129" spans="1:11" ht="32.25" customHeight="1">
      <c r="A129" s="486" t="s">
        <v>5</v>
      </c>
      <c r="B129" s="486"/>
      <c r="C129" s="486"/>
      <c r="D129" s="486"/>
      <c r="E129" s="282">
        <f>SUM(E6:E128)</f>
        <v>1475.5750000000007</v>
      </c>
      <c r="F129" s="282">
        <f t="shared" ref="F129:J129" si="8">SUM(F6:F128)</f>
        <v>608.57500000000005</v>
      </c>
      <c r="G129" s="282">
        <f t="shared" si="8"/>
        <v>364.755</v>
      </c>
      <c r="H129" s="282">
        <f t="shared" si="8"/>
        <v>290.88200000000001</v>
      </c>
      <c r="I129" s="282">
        <f t="shared" si="8"/>
        <v>2739.8169999999996</v>
      </c>
      <c r="J129" s="282">
        <f t="shared" si="8"/>
        <v>87.359999999999971</v>
      </c>
      <c r="K129" s="53"/>
    </row>
    <row r="130" spans="1:11">
      <c r="A130" s="53"/>
      <c r="B130" s="480" t="s">
        <v>43</v>
      </c>
      <c r="C130" s="480"/>
      <c r="D130" s="480"/>
      <c r="E130" s="35"/>
      <c r="F130" s="35"/>
      <c r="G130" s="35">
        <v>58</v>
      </c>
      <c r="H130" s="35"/>
      <c r="I130" s="35">
        <v>58</v>
      </c>
      <c r="J130" s="35"/>
      <c r="K130" s="53"/>
    </row>
    <row r="131" spans="1:11" ht="15" customHeight="1">
      <c r="A131" s="476" t="s">
        <v>46</v>
      </c>
      <c r="B131" s="476"/>
      <c r="C131" s="476"/>
      <c r="D131" s="476"/>
      <c r="E131" s="476"/>
      <c r="F131" s="476"/>
      <c r="G131" s="476"/>
      <c r="H131" s="476"/>
      <c r="I131" s="476"/>
      <c r="J131" s="476"/>
      <c r="K131" s="476"/>
    </row>
    <row r="132" spans="1:11" ht="47.25" customHeight="1">
      <c r="A132" s="476"/>
      <c r="B132" s="476"/>
      <c r="C132" s="476"/>
      <c r="D132" s="476"/>
      <c r="E132" s="476"/>
      <c r="F132" s="476"/>
      <c r="G132" s="476"/>
      <c r="H132" s="476"/>
      <c r="I132" s="476"/>
      <c r="J132" s="476"/>
      <c r="K132" s="476"/>
    </row>
    <row r="148" ht="15.75" customHeight="1"/>
  </sheetData>
  <mergeCells count="160">
    <mergeCell ref="C114:D114"/>
    <mergeCell ref="C116:D116"/>
    <mergeCell ref="C115:D115"/>
    <mergeCell ref="A113:A114"/>
    <mergeCell ref="B113:B114"/>
    <mergeCell ref="A107:A108"/>
    <mergeCell ref="B107:B108"/>
    <mergeCell ref="A109:A110"/>
    <mergeCell ref="B109:B110"/>
    <mergeCell ref="C53:C54"/>
    <mergeCell ref="A47:A50"/>
    <mergeCell ref="B47:B50"/>
    <mergeCell ref="C47:C48"/>
    <mergeCell ref="C49:C50"/>
    <mergeCell ref="C113:D113"/>
    <mergeCell ref="A101:A102"/>
    <mergeCell ref="B101:B102"/>
    <mergeCell ref="A103:A106"/>
    <mergeCell ref="B103:B106"/>
    <mergeCell ref="B99:B100"/>
    <mergeCell ref="A93:A96"/>
    <mergeCell ref="B93:B96"/>
    <mergeCell ref="C93:C94"/>
    <mergeCell ref="C95:C96"/>
    <mergeCell ref="B67:B81"/>
    <mergeCell ref="A67:A81"/>
    <mergeCell ref="C77:C81"/>
    <mergeCell ref="C67:C76"/>
    <mergeCell ref="C100:D100"/>
    <mergeCell ref="C99:D99"/>
    <mergeCell ref="G18:G21"/>
    <mergeCell ref="H18:H21"/>
    <mergeCell ref="A26:A34"/>
    <mergeCell ref="B26:B34"/>
    <mergeCell ref="A24:A25"/>
    <mergeCell ref="B24:B25"/>
    <mergeCell ref="C27:C34"/>
    <mergeCell ref="C24:D24"/>
    <mergeCell ref="C25:D25"/>
    <mergeCell ref="C22:D22"/>
    <mergeCell ref="C112:D112"/>
    <mergeCell ref="C111:D111"/>
    <mergeCell ref="C110:D110"/>
    <mergeCell ref="C109:D109"/>
    <mergeCell ref="A14:A21"/>
    <mergeCell ref="B14:B21"/>
    <mergeCell ref="C14:C17"/>
    <mergeCell ref="A22:A23"/>
    <mergeCell ref="B22:B23"/>
    <mergeCell ref="C23:D23"/>
    <mergeCell ref="A111:A112"/>
    <mergeCell ref="B111:B112"/>
    <mergeCell ref="C101:D101"/>
    <mergeCell ref="C102:D102"/>
    <mergeCell ref="C103:C104"/>
    <mergeCell ref="C105:C106"/>
    <mergeCell ref="C108:D108"/>
    <mergeCell ref="C107:D107"/>
    <mergeCell ref="A97:A98"/>
    <mergeCell ref="B97:B98"/>
    <mergeCell ref="A99:A100"/>
    <mergeCell ref="A51:A54"/>
    <mergeCell ref="B51:B54"/>
    <mergeCell ref="C51:C52"/>
    <mergeCell ref="B125:B126"/>
    <mergeCell ref="A129:D129"/>
    <mergeCell ref="A127:A128"/>
    <mergeCell ref="B127:B128"/>
    <mergeCell ref="C127:D127"/>
    <mergeCell ref="C128:D128"/>
    <mergeCell ref="B130:D130"/>
    <mergeCell ref="C126:D126"/>
    <mergeCell ref="A125:A126"/>
    <mergeCell ref="C125:D125"/>
    <mergeCell ref="C124:D124"/>
    <mergeCell ref="C123:D123"/>
    <mergeCell ref="C122:D122"/>
    <mergeCell ref="C121:D121"/>
    <mergeCell ref="A121:A122"/>
    <mergeCell ref="B121:B122"/>
    <mergeCell ref="A123:A124"/>
    <mergeCell ref="B123:B124"/>
    <mergeCell ref="A115:A116"/>
    <mergeCell ref="B115:B116"/>
    <mergeCell ref="A119:A120"/>
    <mergeCell ref="B119:B120"/>
    <mergeCell ref="C119:D119"/>
    <mergeCell ref="C120:D120"/>
    <mergeCell ref="C98:D98"/>
    <mergeCell ref="C97:D97"/>
    <mergeCell ref="A82:A92"/>
    <mergeCell ref="B82:B92"/>
    <mergeCell ref="C84:C92"/>
    <mergeCell ref="C82:C83"/>
    <mergeCell ref="C6:D9"/>
    <mergeCell ref="A6:A13"/>
    <mergeCell ref="B6:B13"/>
    <mergeCell ref="C10:D13"/>
    <mergeCell ref="A63:A66"/>
    <mergeCell ref="B63:B66"/>
    <mergeCell ref="C63:C64"/>
    <mergeCell ref="C65:C66"/>
    <mergeCell ref="A35:A42"/>
    <mergeCell ref="B35:B42"/>
    <mergeCell ref="C37:C42"/>
    <mergeCell ref="A43:A46"/>
    <mergeCell ref="B43:B46"/>
    <mergeCell ref="C43:C44"/>
    <mergeCell ref="C45:C46"/>
    <mergeCell ref="A55:A58"/>
    <mergeCell ref="B55:B58"/>
    <mergeCell ref="C55:C56"/>
    <mergeCell ref="C57:C58"/>
    <mergeCell ref="A59:A62"/>
    <mergeCell ref="B59:B62"/>
    <mergeCell ref="C59:C60"/>
    <mergeCell ref="C61:C62"/>
    <mergeCell ref="C35:C36"/>
    <mergeCell ref="J4:J5"/>
    <mergeCell ref="E10:E13"/>
    <mergeCell ref="F10:F13"/>
    <mergeCell ref="G10:G13"/>
    <mergeCell ref="H10:H13"/>
    <mergeCell ref="I10:I13"/>
    <mergeCell ref="J10:J13"/>
    <mergeCell ref="E6:E9"/>
    <mergeCell ref="F6:F9"/>
    <mergeCell ref="G6:G9"/>
    <mergeCell ref="H6:H9"/>
    <mergeCell ref="I6:I9"/>
    <mergeCell ref="J6:J9"/>
    <mergeCell ref="I18:I21"/>
    <mergeCell ref="J18:J21"/>
    <mergeCell ref="C18:D21"/>
    <mergeCell ref="E18:E21"/>
    <mergeCell ref="F18:F21"/>
    <mergeCell ref="K4:K5"/>
    <mergeCell ref="A1:K1"/>
    <mergeCell ref="A2:K2"/>
    <mergeCell ref="A3:K3"/>
    <mergeCell ref="K6:K9"/>
    <mergeCell ref="K10:K13"/>
    <mergeCell ref="K18:K21"/>
    <mergeCell ref="A131:K132"/>
    <mergeCell ref="K101:K102"/>
    <mergeCell ref="K107:K108"/>
    <mergeCell ref="K113:K114"/>
    <mergeCell ref="K121:K122"/>
    <mergeCell ref="K97:K98"/>
    <mergeCell ref="K99:K100"/>
    <mergeCell ref="K125:K126"/>
    <mergeCell ref="K55:K58"/>
    <mergeCell ref="K93:K96"/>
    <mergeCell ref="A117:A118"/>
    <mergeCell ref="B117:B118"/>
    <mergeCell ref="C117:D117"/>
    <mergeCell ref="C118:D118"/>
    <mergeCell ref="A4:A5"/>
    <mergeCell ref="B4:D5"/>
    <mergeCell ref="E4:I4"/>
  </mergeCells>
  <pageMargins left="0.17" right="0.17" top="0.28999999999999998" bottom="0.28999999999999998" header="0.3" footer="0.3"/>
  <pageSetup orientation="landscape" r:id="rId1"/>
  <ignoredErrors>
    <ignoredError sqref="I79 I80:I8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C1716-7A64-441D-80F0-2C46E6F65D74}">
  <dimension ref="A1:AG158"/>
  <sheetViews>
    <sheetView topLeftCell="E4" zoomScaleNormal="100" workbookViewId="0">
      <selection activeCell="AD7" sqref="AD7:AD23"/>
    </sheetView>
  </sheetViews>
  <sheetFormatPr defaultRowHeight="15"/>
  <cols>
    <col min="1" max="1" width="5.5703125" style="1" customWidth="1"/>
    <col min="2" max="2" width="19.5703125" style="1" customWidth="1"/>
    <col min="3" max="3" width="18.140625" style="1" customWidth="1"/>
    <col min="4" max="4" width="25" style="1" customWidth="1"/>
    <col min="5" max="5" width="8.28515625" style="1" customWidth="1"/>
    <col min="6" max="30" width="9.42578125" style="1" customWidth="1"/>
    <col min="31" max="31" width="12" style="1" customWidth="1"/>
    <col min="32" max="32" width="14.7109375" style="1" customWidth="1"/>
    <col min="33" max="33" width="19" style="1" customWidth="1"/>
    <col min="34" max="16384" width="9.140625" style="1"/>
  </cols>
  <sheetData>
    <row r="1" spans="1:33" ht="66" customHeight="1">
      <c r="A1" s="637" t="s">
        <v>829</v>
      </c>
      <c r="B1" s="638"/>
      <c r="C1" s="638"/>
      <c r="D1" s="638"/>
      <c r="E1" s="638"/>
      <c r="F1" s="638"/>
      <c r="G1" s="638"/>
      <c r="H1" s="638"/>
      <c r="I1" s="638"/>
      <c r="J1" s="638"/>
      <c r="K1" s="638"/>
      <c r="L1" s="638"/>
      <c r="M1" s="638"/>
      <c r="N1" s="638"/>
      <c r="O1" s="638"/>
      <c r="P1" s="638"/>
      <c r="Q1" s="638"/>
      <c r="R1" s="638"/>
      <c r="S1" s="638"/>
      <c r="T1" s="638"/>
      <c r="U1" s="638"/>
      <c r="V1" s="638"/>
      <c r="W1" s="638"/>
      <c r="X1" s="638"/>
      <c r="Y1" s="638"/>
      <c r="Z1" s="638"/>
      <c r="AA1" s="638"/>
      <c r="AB1" s="638"/>
      <c r="AC1" s="638"/>
      <c r="AD1" s="638"/>
      <c r="AE1" s="638"/>
      <c r="AF1" s="638"/>
      <c r="AG1" s="639"/>
    </row>
    <row r="2" spans="1:33" ht="19.5" customHeight="1">
      <c r="A2" s="640" t="s">
        <v>830</v>
      </c>
      <c r="B2" s="641"/>
      <c r="C2" s="641"/>
      <c r="D2" s="641"/>
      <c r="E2" s="641"/>
      <c r="F2" s="641"/>
      <c r="G2" s="641"/>
      <c r="H2" s="641"/>
      <c r="I2" s="641"/>
      <c r="J2" s="641"/>
      <c r="K2" s="641"/>
      <c r="L2" s="641"/>
      <c r="M2" s="641"/>
      <c r="N2" s="641"/>
      <c r="O2" s="641"/>
      <c r="P2" s="641"/>
      <c r="Q2" s="641"/>
      <c r="R2" s="641"/>
      <c r="S2" s="641"/>
      <c r="T2" s="641"/>
      <c r="U2" s="641"/>
      <c r="V2" s="641"/>
      <c r="W2" s="641"/>
      <c r="X2" s="641"/>
      <c r="Y2" s="641"/>
      <c r="Z2" s="641"/>
      <c r="AA2" s="641"/>
      <c r="AB2" s="641"/>
      <c r="AC2" s="641"/>
      <c r="AD2" s="641"/>
      <c r="AE2" s="641"/>
      <c r="AF2" s="641"/>
      <c r="AG2" s="642"/>
    </row>
    <row r="3" spans="1:33" ht="17.25" customHeight="1">
      <c r="A3" s="643" t="s">
        <v>1</v>
      </c>
      <c r="B3" s="644"/>
      <c r="C3" s="644"/>
      <c r="D3" s="644"/>
      <c r="E3" s="644"/>
      <c r="F3" s="644"/>
      <c r="G3" s="644"/>
      <c r="H3" s="644"/>
      <c r="I3" s="644"/>
      <c r="J3" s="644"/>
      <c r="K3" s="644"/>
      <c r="L3" s="644"/>
      <c r="M3" s="644"/>
      <c r="N3" s="644"/>
      <c r="O3" s="644"/>
      <c r="P3" s="644"/>
      <c r="Q3" s="644"/>
      <c r="R3" s="644"/>
      <c r="S3" s="644"/>
      <c r="T3" s="644"/>
      <c r="U3" s="644"/>
      <c r="V3" s="644"/>
      <c r="W3" s="644"/>
      <c r="X3" s="644"/>
      <c r="Y3" s="644"/>
      <c r="Z3" s="644"/>
      <c r="AA3" s="644"/>
      <c r="AB3" s="644"/>
      <c r="AC3" s="644"/>
      <c r="AD3" s="644"/>
      <c r="AE3" s="644"/>
      <c r="AF3" s="644"/>
      <c r="AG3" s="645"/>
    </row>
    <row r="4" spans="1:33" ht="34.5" customHeight="1">
      <c r="A4" s="633" t="s">
        <v>812</v>
      </c>
      <c r="B4" s="647" t="s">
        <v>2</v>
      </c>
      <c r="C4" s="648"/>
      <c r="D4" s="649"/>
      <c r="E4" s="656" t="s">
        <v>3</v>
      </c>
      <c r="F4" s="657"/>
      <c r="G4" s="657"/>
      <c r="H4" s="657"/>
      <c r="I4" s="657"/>
      <c r="J4" s="657"/>
      <c r="K4" s="657"/>
      <c r="L4" s="657"/>
      <c r="M4" s="657"/>
      <c r="N4" s="657"/>
      <c r="O4" s="657"/>
      <c r="P4" s="657"/>
      <c r="Q4" s="657"/>
      <c r="R4" s="657"/>
      <c r="S4" s="657"/>
      <c r="T4" s="657"/>
      <c r="U4" s="657"/>
      <c r="V4" s="657"/>
      <c r="W4" s="657"/>
      <c r="X4" s="657"/>
      <c r="Y4" s="657"/>
      <c r="Z4" s="657"/>
      <c r="AA4" s="657"/>
      <c r="AB4" s="657"/>
      <c r="AC4" s="657"/>
      <c r="AD4" s="657"/>
      <c r="AE4" s="658"/>
      <c r="AF4" s="495" t="s">
        <v>4</v>
      </c>
      <c r="AG4" s="633" t="s">
        <v>811</v>
      </c>
    </row>
    <row r="5" spans="1:33" ht="47.85" customHeight="1">
      <c r="A5" s="646"/>
      <c r="B5" s="650"/>
      <c r="C5" s="651"/>
      <c r="D5" s="652"/>
      <c r="E5" s="630" t="s">
        <v>813</v>
      </c>
      <c r="F5" s="631"/>
      <c r="G5" s="631"/>
      <c r="H5" s="631"/>
      <c r="I5" s="631"/>
      <c r="J5" s="632"/>
      <c r="K5" s="354"/>
      <c r="L5" s="630" t="s">
        <v>814</v>
      </c>
      <c r="M5" s="631"/>
      <c r="N5" s="631"/>
      <c r="O5" s="631"/>
      <c r="P5" s="632"/>
      <c r="Q5" s="354"/>
      <c r="R5" s="630" t="s">
        <v>815</v>
      </c>
      <c r="S5" s="631"/>
      <c r="T5" s="631"/>
      <c r="U5" s="631"/>
      <c r="V5" s="632"/>
      <c r="W5" s="354"/>
      <c r="X5" s="630" t="s">
        <v>816</v>
      </c>
      <c r="Y5" s="631"/>
      <c r="Z5" s="631"/>
      <c r="AA5" s="631"/>
      <c r="AB5" s="631"/>
      <c r="AC5" s="632"/>
      <c r="AD5" s="352"/>
      <c r="AE5" s="633" t="s">
        <v>5</v>
      </c>
      <c r="AF5" s="496"/>
      <c r="AG5" s="659"/>
    </row>
    <row r="6" spans="1:33" ht="47.85" customHeight="1">
      <c r="A6" s="634"/>
      <c r="B6" s="653"/>
      <c r="C6" s="654"/>
      <c r="D6" s="655"/>
      <c r="E6" s="2" t="s">
        <v>831</v>
      </c>
      <c r="F6" s="2" t="s">
        <v>832</v>
      </c>
      <c r="G6" s="2" t="s">
        <v>126</v>
      </c>
      <c r="H6" s="2" t="s">
        <v>833</v>
      </c>
      <c r="I6" s="2" t="s">
        <v>834</v>
      </c>
      <c r="J6" s="2" t="s">
        <v>835</v>
      </c>
      <c r="K6" s="2"/>
      <c r="L6" s="2" t="s">
        <v>831</v>
      </c>
      <c r="M6" s="2" t="s">
        <v>126</v>
      </c>
      <c r="N6" s="2" t="s">
        <v>833</v>
      </c>
      <c r="O6" s="2" t="s">
        <v>834</v>
      </c>
      <c r="P6" s="2" t="s">
        <v>835</v>
      </c>
      <c r="Q6" s="2"/>
      <c r="R6" s="2" t="s">
        <v>831</v>
      </c>
      <c r="S6" s="2" t="s">
        <v>126</v>
      </c>
      <c r="T6" s="2" t="s">
        <v>833</v>
      </c>
      <c r="U6" s="2" t="s">
        <v>834</v>
      </c>
      <c r="V6" s="2" t="s">
        <v>835</v>
      </c>
      <c r="W6" s="2"/>
      <c r="X6" s="2" t="s">
        <v>831</v>
      </c>
      <c r="Y6" s="2" t="s">
        <v>832</v>
      </c>
      <c r="Z6" s="2" t="s">
        <v>126</v>
      </c>
      <c r="AA6" s="2" t="s">
        <v>833</v>
      </c>
      <c r="AB6" s="2" t="s">
        <v>834</v>
      </c>
      <c r="AC6" s="2" t="s">
        <v>835</v>
      </c>
      <c r="AD6" s="355"/>
      <c r="AE6" s="634"/>
      <c r="AF6" s="497"/>
      <c r="AG6" s="660"/>
    </row>
    <row r="7" spans="1:33" s="4" customFormat="1" ht="17.25" customHeight="1">
      <c r="A7" s="635">
        <v>1</v>
      </c>
      <c r="B7" s="636" t="s">
        <v>6</v>
      </c>
      <c r="C7" s="527" t="s">
        <v>7</v>
      </c>
      <c r="D7" s="3" t="s">
        <v>8</v>
      </c>
      <c r="E7" s="39">
        <v>0</v>
      </c>
      <c r="F7" s="39">
        <v>0</v>
      </c>
      <c r="G7" s="39">
        <v>0</v>
      </c>
      <c r="H7" s="39">
        <v>0.5</v>
      </c>
      <c r="I7" s="39">
        <v>0</v>
      </c>
      <c r="J7" s="39">
        <v>0</v>
      </c>
      <c r="K7" s="39">
        <f>SUM(E7:J7)</f>
        <v>0.5</v>
      </c>
      <c r="L7" s="39">
        <v>0</v>
      </c>
      <c r="M7" s="39">
        <v>0</v>
      </c>
      <c r="N7" s="39">
        <v>0</v>
      </c>
      <c r="O7" s="39">
        <v>0</v>
      </c>
      <c r="P7" s="39">
        <v>0</v>
      </c>
      <c r="Q7" s="39">
        <f>SUM(L7:P7)</f>
        <v>0</v>
      </c>
      <c r="R7" s="39">
        <v>0</v>
      </c>
      <c r="S7" s="39">
        <v>0</v>
      </c>
      <c r="T7" s="39">
        <v>0</v>
      </c>
      <c r="U7" s="39">
        <v>0</v>
      </c>
      <c r="V7" s="39">
        <v>0</v>
      </c>
      <c r="W7" s="39">
        <f>SUM(R7:V7)</f>
        <v>0</v>
      </c>
      <c r="X7" s="39">
        <v>0</v>
      </c>
      <c r="Y7" s="39">
        <v>0</v>
      </c>
      <c r="Z7" s="39">
        <v>0</v>
      </c>
      <c r="AA7" s="39">
        <v>0</v>
      </c>
      <c r="AB7" s="39">
        <v>0</v>
      </c>
      <c r="AC7" s="356">
        <v>41</v>
      </c>
      <c r="AD7" s="934">
        <f>SUM(X7:AC7)</f>
        <v>41</v>
      </c>
      <c r="AE7" s="934">
        <f>SUM(E7:AC7)</f>
        <v>42</v>
      </c>
      <c r="AF7" s="337"/>
      <c r="AG7" s="40"/>
    </row>
    <row r="8" spans="1:33" s="4" customFormat="1" ht="17.25" customHeight="1">
      <c r="A8" s="553"/>
      <c r="B8" s="590"/>
      <c r="C8" s="590"/>
      <c r="D8" s="5" t="s">
        <v>9</v>
      </c>
      <c r="E8" s="39">
        <v>0</v>
      </c>
      <c r="F8" s="39">
        <v>1.5</v>
      </c>
      <c r="G8" s="39">
        <v>4</v>
      </c>
      <c r="H8" s="39">
        <v>0</v>
      </c>
      <c r="I8" s="39">
        <v>0</v>
      </c>
      <c r="J8" s="39">
        <v>0</v>
      </c>
      <c r="K8" s="39">
        <f t="shared" ref="K8:K23" si="0">SUM(E8:J8)</f>
        <v>5.5</v>
      </c>
      <c r="L8" s="41">
        <v>0</v>
      </c>
      <c r="M8" s="39">
        <v>0</v>
      </c>
      <c r="N8" s="39">
        <v>0</v>
      </c>
      <c r="O8" s="39">
        <v>0</v>
      </c>
      <c r="P8" s="39">
        <v>0</v>
      </c>
      <c r="Q8" s="39">
        <f t="shared" ref="Q8:Q23" si="1">SUM(L8:P8)</f>
        <v>0</v>
      </c>
      <c r="R8" s="357">
        <v>0</v>
      </c>
      <c r="S8" s="39">
        <v>0</v>
      </c>
      <c r="T8" s="39">
        <v>0</v>
      </c>
      <c r="U8" s="39">
        <v>0</v>
      </c>
      <c r="V8" s="39">
        <v>0</v>
      </c>
      <c r="W8" s="39">
        <f t="shared" ref="W8:W23" si="2">SUM(R8:V8)</f>
        <v>0</v>
      </c>
      <c r="X8" s="39">
        <v>0</v>
      </c>
      <c r="Y8" s="39">
        <v>0</v>
      </c>
      <c r="Z8" s="39">
        <v>0</v>
      </c>
      <c r="AA8" s="39">
        <v>0</v>
      </c>
      <c r="AB8" s="39">
        <v>0</v>
      </c>
      <c r="AC8" s="933">
        <v>13.5</v>
      </c>
      <c r="AD8" s="934">
        <f t="shared" ref="AD8:AD23" si="3">SUM(X8:AC8)</f>
        <v>13.5</v>
      </c>
      <c r="AE8" s="421">
        <f>SUM(E8:AC8)</f>
        <v>24.5</v>
      </c>
      <c r="AF8" s="337"/>
      <c r="AG8" s="337"/>
    </row>
    <row r="9" spans="1:33" s="4" customFormat="1" ht="17.25" customHeight="1">
      <c r="A9" s="553"/>
      <c r="B9" s="590"/>
      <c r="C9" s="590"/>
      <c r="D9" s="5" t="s">
        <v>10</v>
      </c>
      <c r="E9" s="39">
        <v>0</v>
      </c>
      <c r="F9" s="39">
        <v>0</v>
      </c>
      <c r="G9" s="39">
        <v>0.25</v>
      </c>
      <c r="H9" s="39">
        <v>0</v>
      </c>
      <c r="I9" s="39">
        <v>0.5</v>
      </c>
      <c r="J9" s="39">
        <v>0</v>
      </c>
      <c r="K9" s="39">
        <f t="shared" si="0"/>
        <v>0.75</v>
      </c>
      <c r="L9" s="41">
        <v>0</v>
      </c>
      <c r="M9" s="39">
        <v>0</v>
      </c>
      <c r="N9" s="39">
        <v>0</v>
      </c>
      <c r="O9" s="39">
        <v>0</v>
      </c>
      <c r="P9" s="39">
        <v>0</v>
      </c>
      <c r="Q9" s="39">
        <f t="shared" si="1"/>
        <v>0</v>
      </c>
      <c r="R9" s="357">
        <v>0</v>
      </c>
      <c r="S9" s="39">
        <v>0</v>
      </c>
      <c r="T9" s="39">
        <v>0</v>
      </c>
      <c r="U9" s="39">
        <v>0</v>
      </c>
      <c r="V9" s="39">
        <v>0</v>
      </c>
      <c r="W9" s="39">
        <f t="shared" si="2"/>
        <v>0</v>
      </c>
      <c r="X9" s="39">
        <v>0</v>
      </c>
      <c r="Y9" s="39">
        <v>0</v>
      </c>
      <c r="Z9" s="39">
        <v>0</v>
      </c>
      <c r="AA9" s="39">
        <v>0</v>
      </c>
      <c r="AB9" s="39">
        <v>0</v>
      </c>
      <c r="AC9" s="409">
        <v>36.200000000000003</v>
      </c>
      <c r="AD9" s="934">
        <f t="shared" si="3"/>
        <v>36.200000000000003</v>
      </c>
      <c r="AE9" s="421">
        <f>SUM(E9:AC9)</f>
        <v>37.700000000000003</v>
      </c>
      <c r="AF9" s="337"/>
      <c r="AG9" s="337"/>
    </row>
    <row r="10" spans="1:33" s="4" customFormat="1" ht="17.25" customHeight="1">
      <c r="A10" s="553"/>
      <c r="B10" s="590"/>
      <c r="C10" s="529"/>
      <c r="D10" s="5" t="s">
        <v>11</v>
      </c>
      <c r="E10" s="39">
        <v>0</v>
      </c>
      <c r="F10" s="39">
        <v>0</v>
      </c>
      <c r="G10" s="39">
        <v>0</v>
      </c>
      <c r="H10" s="39">
        <v>0</v>
      </c>
      <c r="I10" s="39">
        <v>0</v>
      </c>
      <c r="J10" s="39">
        <v>0</v>
      </c>
      <c r="K10" s="39">
        <f t="shared" si="0"/>
        <v>0</v>
      </c>
      <c r="L10" s="39">
        <v>0</v>
      </c>
      <c r="M10" s="39">
        <v>0</v>
      </c>
      <c r="N10" s="39">
        <v>0</v>
      </c>
      <c r="O10" s="39">
        <v>0</v>
      </c>
      <c r="P10" s="39">
        <v>0</v>
      </c>
      <c r="Q10" s="39">
        <f t="shared" si="1"/>
        <v>0</v>
      </c>
      <c r="R10" s="357">
        <v>0</v>
      </c>
      <c r="S10" s="39">
        <v>0</v>
      </c>
      <c r="T10" s="39">
        <v>0</v>
      </c>
      <c r="U10" s="39">
        <v>0</v>
      </c>
      <c r="V10" s="39">
        <v>0</v>
      </c>
      <c r="W10" s="39">
        <f t="shared" si="2"/>
        <v>0</v>
      </c>
      <c r="X10" s="39">
        <v>0</v>
      </c>
      <c r="Y10" s="39">
        <v>0</v>
      </c>
      <c r="Z10" s="20">
        <v>0</v>
      </c>
      <c r="AA10" s="360">
        <v>0</v>
      </c>
      <c r="AB10" s="130">
        <v>0</v>
      </c>
      <c r="AC10" s="361">
        <v>0.5</v>
      </c>
      <c r="AD10" s="934">
        <f t="shared" si="3"/>
        <v>0.5</v>
      </c>
      <c r="AE10" s="423">
        <f>SUM(E10:AC10)</f>
        <v>0.5</v>
      </c>
      <c r="AF10" s="418"/>
      <c r="AG10" s="337"/>
    </row>
    <row r="11" spans="1:33" s="4" customFormat="1" ht="17.25" customHeight="1">
      <c r="A11" s="553"/>
      <c r="B11" s="590"/>
      <c r="C11" s="527" t="s">
        <v>12</v>
      </c>
      <c r="D11" s="5" t="s">
        <v>13</v>
      </c>
      <c r="E11" s="39">
        <v>1</v>
      </c>
      <c r="F11" s="39">
        <v>0</v>
      </c>
      <c r="G11" s="39">
        <v>0.05</v>
      </c>
      <c r="H11" s="39">
        <v>0</v>
      </c>
      <c r="I11" s="39">
        <v>5.4999999999999997E-3</v>
      </c>
      <c r="J11" s="39">
        <v>0</v>
      </c>
      <c r="K11" s="39">
        <f t="shared" si="0"/>
        <v>1.0555000000000001</v>
      </c>
      <c r="L11" s="39">
        <v>1</v>
      </c>
      <c r="M11" s="130">
        <v>0</v>
      </c>
      <c r="N11" s="362">
        <v>0</v>
      </c>
      <c r="O11" s="39">
        <v>5.4999999999999997E-3</v>
      </c>
      <c r="P11" s="363">
        <v>0</v>
      </c>
      <c r="Q11" s="39">
        <f t="shared" si="1"/>
        <v>1.0055000000000001</v>
      </c>
      <c r="R11" s="357">
        <v>1</v>
      </c>
      <c r="S11" s="357">
        <v>0</v>
      </c>
      <c r="T11" s="357">
        <v>0</v>
      </c>
      <c r="U11" s="39">
        <v>5.4999999999999997E-3</v>
      </c>
      <c r="V11" s="39">
        <v>0</v>
      </c>
      <c r="W11" s="39">
        <f t="shared" si="2"/>
        <v>1.0055000000000001</v>
      </c>
      <c r="X11" s="39">
        <v>1</v>
      </c>
      <c r="Y11" s="39">
        <v>0</v>
      </c>
      <c r="Z11" s="39">
        <v>0</v>
      </c>
      <c r="AA11" s="39">
        <v>0</v>
      </c>
      <c r="AB11" s="39">
        <v>5.4999999999999997E-3</v>
      </c>
      <c r="AC11" s="39">
        <v>0</v>
      </c>
      <c r="AD11" s="934">
        <f t="shared" si="3"/>
        <v>1.0055000000000001</v>
      </c>
      <c r="AE11" s="423">
        <f>SUM(E11:AC11)</f>
        <v>7.1384999999999987</v>
      </c>
      <c r="AF11" s="418"/>
      <c r="AG11" s="337"/>
    </row>
    <row r="12" spans="1:33" s="4" customFormat="1" ht="17.25" customHeight="1">
      <c r="A12" s="553"/>
      <c r="B12" s="590"/>
      <c r="C12" s="590"/>
      <c r="D12" s="5" t="s">
        <v>14</v>
      </c>
      <c r="E12" s="39">
        <v>0</v>
      </c>
      <c r="F12" s="39">
        <v>0</v>
      </c>
      <c r="G12" s="39">
        <v>0</v>
      </c>
      <c r="H12" s="39">
        <v>0</v>
      </c>
      <c r="I12" s="39">
        <v>0</v>
      </c>
      <c r="J12" s="39">
        <v>0</v>
      </c>
      <c r="K12" s="39">
        <f t="shared" si="0"/>
        <v>0</v>
      </c>
      <c r="L12" s="39">
        <v>0</v>
      </c>
      <c r="M12" s="39">
        <v>0</v>
      </c>
      <c r="N12" s="39">
        <v>0</v>
      </c>
      <c r="O12" s="39">
        <v>0</v>
      </c>
      <c r="P12" s="39">
        <v>0</v>
      </c>
      <c r="Q12" s="39">
        <f t="shared" si="1"/>
        <v>0</v>
      </c>
      <c r="R12" s="39">
        <v>0</v>
      </c>
      <c r="S12" s="39">
        <v>0</v>
      </c>
      <c r="T12" s="39">
        <v>0</v>
      </c>
      <c r="U12" s="39">
        <v>0</v>
      </c>
      <c r="V12" s="39">
        <v>0</v>
      </c>
      <c r="W12" s="39">
        <f t="shared" si="2"/>
        <v>0</v>
      </c>
      <c r="X12" s="39">
        <v>0</v>
      </c>
      <c r="Y12" s="39">
        <v>0</v>
      </c>
      <c r="Z12" s="39">
        <v>0</v>
      </c>
      <c r="AA12" s="39">
        <v>0</v>
      </c>
      <c r="AB12" s="39">
        <v>0</v>
      </c>
      <c r="AC12" s="39">
        <v>0</v>
      </c>
      <c r="AD12" s="934">
        <f t="shared" si="3"/>
        <v>0</v>
      </c>
      <c r="AE12" s="423">
        <f>SUM(E12:AC12)</f>
        <v>0</v>
      </c>
      <c r="AF12" s="418"/>
      <c r="AG12" s="337"/>
    </row>
    <row r="13" spans="1:33" s="4" customFormat="1" ht="17.25" customHeight="1">
      <c r="A13" s="553"/>
      <c r="B13" s="590"/>
      <c r="C13" s="590"/>
      <c r="D13" s="5" t="s">
        <v>15</v>
      </c>
      <c r="E13" s="39">
        <v>0</v>
      </c>
      <c r="F13" s="39">
        <v>0</v>
      </c>
      <c r="G13" s="39">
        <v>0.05</v>
      </c>
      <c r="H13" s="39">
        <v>0.2</v>
      </c>
      <c r="I13" s="39">
        <v>0.03</v>
      </c>
      <c r="J13" s="39">
        <v>0</v>
      </c>
      <c r="K13" s="39">
        <f t="shared" si="0"/>
        <v>0.28000000000000003</v>
      </c>
      <c r="L13" s="39">
        <v>0</v>
      </c>
      <c r="M13" s="39">
        <v>0</v>
      </c>
      <c r="N13" s="364">
        <v>0.2</v>
      </c>
      <c r="O13" s="39">
        <v>0.03</v>
      </c>
      <c r="P13" s="363">
        <v>0</v>
      </c>
      <c r="Q13" s="39">
        <f t="shared" si="1"/>
        <v>0.23</v>
      </c>
      <c r="R13" s="39">
        <v>0</v>
      </c>
      <c r="S13" s="39">
        <v>0</v>
      </c>
      <c r="T13" s="358">
        <v>0.2</v>
      </c>
      <c r="U13" s="39">
        <v>0.03</v>
      </c>
      <c r="V13" s="39">
        <v>0</v>
      </c>
      <c r="W13" s="39">
        <f t="shared" si="2"/>
        <v>0.23</v>
      </c>
      <c r="X13" s="39">
        <v>0</v>
      </c>
      <c r="Y13" s="39">
        <v>0</v>
      </c>
      <c r="Z13" s="39">
        <v>0</v>
      </c>
      <c r="AA13" s="39">
        <v>0.2</v>
      </c>
      <c r="AB13" s="39">
        <v>0.03</v>
      </c>
      <c r="AC13" s="39">
        <v>0</v>
      </c>
      <c r="AD13" s="934">
        <f t="shared" si="3"/>
        <v>0.23</v>
      </c>
      <c r="AE13" s="423">
        <f>SUM(E13:AC13)</f>
        <v>1.71</v>
      </c>
      <c r="AF13" s="418"/>
      <c r="AG13" s="337"/>
    </row>
    <row r="14" spans="1:33" s="4" customFormat="1" ht="17.25" customHeight="1">
      <c r="A14" s="513"/>
      <c r="B14" s="529"/>
      <c r="C14" s="529"/>
      <c r="D14" s="5" t="s">
        <v>11</v>
      </c>
      <c r="E14" s="39">
        <v>1</v>
      </c>
      <c r="F14" s="39">
        <v>0</v>
      </c>
      <c r="G14" s="39">
        <v>0</v>
      </c>
      <c r="H14" s="39">
        <v>0</v>
      </c>
      <c r="I14" s="39">
        <v>0</v>
      </c>
      <c r="J14" s="39">
        <v>0</v>
      </c>
      <c r="K14" s="39">
        <f t="shared" si="0"/>
        <v>1</v>
      </c>
      <c r="L14" s="39">
        <v>1</v>
      </c>
      <c r="M14" s="39">
        <v>0</v>
      </c>
      <c r="N14" s="39">
        <v>0</v>
      </c>
      <c r="O14" s="39">
        <v>0</v>
      </c>
      <c r="P14" s="39">
        <v>0</v>
      </c>
      <c r="Q14" s="39">
        <f t="shared" si="1"/>
        <v>1</v>
      </c>
      <c r="R14" s="39">
        <v>1</v>
      </c>
      <c r="S14" s="39">
        <v>0</v>
      </c>
      <c r="T14" s="39">
        <v>0</v>
      </c>
      <c r="U14" s="39">
        <v>0</v>
      </c>
      <c r="V14" s="39">
        <v>0</v>
      </c>
      <c r="W14" s="39">
        <f t="shared" si="2"/>
        <v>1</v>
      </c>
      <c r="X14" s="39">
        <v>1</v>
      </c>
      <c r="Y14" s="39">
        <v>0</v>
      </c>
      <c r="Z14" s="39">
        <v>0</v>
      </c>
      <c r="AA14" s="39">
        <v>0</v>
      </c>
      <c r="AB14" s="39">
        <v>0</v>
      </c>
      <c r="AC14" s="39">
        <v>0</v>
      </c>
      <c r="AD14" s="934">
        <f t="shared" si="3"/>
        <v>1</v>
      </c>
      <c r="AE14" s="423">
        <f>SUM(E14:AC14)</f>
        <v>7</v>
      </c>
      <c r="AF14" s="418"/>
      <c r="AG14" s="337"/>
    </row>
    <row r="15" spans="1:33" s="4" customFormat="1" ht="21" customHeight="1">
      <c r="A15" s="512">
        <v>2</v>
      </c>
      <c r="B15" s="527" t="s">
        <v>16</v>
      </c>
      <c r="C15" s="5" t="s">
        <v>7</v>
      </c>
      <c r="D15" s="5" t="s">
        <v>8</v>
      </c>
      <c r="E15" s="39">
        <v>0</v>
      </c>
      <c r="F15" s="39">
        <v>0</v>
      </c>
      <c r="G15" s="39">
        <v>0</v>
      </c>
      <c r="H15" s="39">
        <v>0</v>
      </c>
      <c r="I15" s="39">
        <v>0</v>
      </c>
      <c r="J15" s="39">
        <v>0</v>
      </c>
      <c r="K15" s="39">
        <f t="shared" si="0"/>
        <v>0</v>
      </c>
      <c r="L15" s="39">
        <v>0</v>
      </c>
      <c r="M15" s="39">
        <v>0</v>
      </c>
      <c r="N15" s="39">
        <v>0</v>
      </c>
      <c r="O15" s="39">
        <v>0</v>
      </c>
      <c r="P15" s="39">
        <v>0</v>
      </c>
      <c r="Q15" s="39">
        <f t="shared" si="1"/>
        <v>0</v>
      </c>
      <c r="R15" s="39">
        <v>0</v>
      </c>
      <c r="S15" s="39">
        <v>0</v>
      </c>
      <c r="T15" s="39">
        <v>0</v>
      </c>
      <c r="U15" s="39">
        <v>0</v>
      </c>
      <c r="V15" s="39">
        <v>0</v>
      </c>
      <c r="W15" s="39">
        <f t="shared" si="2"/>
        <v>0</v>
      </c>
      <c r="X15" s="39">
        <v>0</v>
      </c>
      <c r="Y15" s="39">
        <v>0</v>
      </c>
      <c r="Z15" s="39">
        <v>0</v>
      </c>
      <c r="AA15" s="39">
        <v>0</v>
      </c>
      <c r="AB15" s="39">
        <v>0</v>
      </c>
      <c r="AC15" s="39">
        <v>0</v>
      </c>
      <c r="AD15" s="934">
        <f t="shared" si="3"/>
        <v>0</v>
      </c>
      <c r="AE15" s="423">
        <f>SUM(E15:AC15)</f>
        <v>0</v>
      </c>
      <c r="AF15" s="418"/>
      <c r="AG15" s="337"/>
    </row>
    <row r="16" spans="1:33" s="4" customFormat="1" ht="17.25" customHeight="1">
      <c r="A16" s="553"/>
      <c r="B16" s="590"/>
      <c r="C16" s="527" t="s">
        <v>12</v>
      </c>
      <c r="D16" s="5" t="s">
        <v>17</v>
      </c>
      <c r="E16" s="39">
        <v>0</v>
      </c>
      <c r="F16" s="39">
        <v>0</v>
      </c>
      <c r="G16" s="39">
        <v>0</v>
      </c>
      <c r="H16" s="39">
        <v>0</v>
      </c>
      <c r="I16" s="22">
        <v>0.15</v>
      </c>
      <c r="J16" s="39">
        <v>1</v>
      </c>
      <c r="K16" s="39">
        <f t="shared" si="0"/>
        <v>1.1499999999999999</v>
      </c>
      <c r="L16" s="39">
        <v>0</v>
      </c>
      <c r="M16" s="39">
        <v>0</v>
      </c>
      <c r="N16" s="39">
        <v>0</v>
      </c>
      <c r="O16" s="22">
        <v>0.15</v>
      </c>
      <c r="P16" s="39">
        <v>0</v>
      </c>
      <c r="Q16" s="39">
        <f t="shared" si="1"/>
        <v>0.15</v>
      </c>
      <c r="R16" s="39">
        <v>0</v>
      </c>
      <c r="S16" s="39">
        <v>0</v>
      </c>
      <c r="T16" s="39">
        <v>0.2</v>
      </c>
      <c r="U16" s="22">
        <v>0.15</v>
      </c>
      <c r="V16" s="39">
        <v>0</v>
      </c>
      <c r="W16" s="39">
        <f t="shared" si="2"/>
        <v>0.35</v>
      </c>
      <c r="X16" s="39">
        <v>0</v>
      </c>
      <c r="Y16" s="39">
        <v>0</v>
      </c>
      <c r="Z16" s="39">
        <v>0</v>
      </c>
      <c r="AA16" s="39">
        <v>0</v>
      </c>
      <c r="AB16" s="22">
        <v>0.15</v>
      </c>
      <c r="AC16" s="39">
        <v>1</v>
      </c>
      <c r="AD16" s="934">
        <f t="shared" si="3"/>
        <v>1.1499999999999999</v>
      </c>
      <c r="AE16" s="423">
        <f>SUM(E16:AC16)</f>
        <v>4.4499999999999993</v>
      </c>
      <c r="AF16" s="418"/>
      <c r="AG16" s="337"/>
    </row>
    <row r="17" spans="1:33" s="4" customFormat="1" ht="17.25" customHeight="1">
      <c r="A17" s="553"/>
      <c r="B17" s="590"/>
      <c r="C17" s="590"/>
      <c r="D17" s="5" t="s">
        <v>18</v>
      </c>
      <c r="E17" s="39">
        <v>0</v>
      </c>
      <c r="F17" s="39">
        <v>0</v>
      </c>
      <c r="G17" s="39">
        <v>0</v>
      </c>
      <c r="H17" s="39">
        <v>0</v>
      </c>
      <c r="I17" s="39">
        <v>0.15</v>
      </c>
      <c r="J17" s="39">
        <v>0</v>
      </c>
      <c r="K17" s="39">
        <f t="shared" si="0"/>
        <v>0.15</v>
      </c>
      <c r="L17" s="39">
        <v>0</v>
      </c>
      <c r="M17" s="39">
        <v>0</v>
      </c>
      <c r="N17" s="39">
        <v>0</v>
      </c>
      <c r="O17" s="39">
        <v>0.15</v>
      </c>
      <c r="P17" s="39">
        <v>0</v>
      </c>
      <c r="Q17" s="39">
        <f t="shared" si="1"/>
        <v>0.15</v>
      </c>
      <c r="R17" s="39">
        <v>0</v>
      </c>
      <c r="S17" s="39">
        <v>0</v>
      </c>
      <c r="T17" s="39">
        <v>0</v>
      </c>
      <c r="U17" s="39">
        <v>0.15</v>
      </c>
      <c r="V17" s="39">
        <v>0</v>
      </c>
      <c r="W17" s="39">
        <f t="shared" si="2"/>
        <v>0.15</v>
      </c>
      <c r="X17" s="39">
        <v>0</v>
      </c>
      <c r="Y17" s="39">
        <v>0</v>
      </c>
      <c r="Z17" s="39">
        <v>0</v>
      </c>
      <c r="AA17" s="39">
        <v>0</v>
      </c>
      <c r="AB17" s="39">
        <v>0.15</v>
      </c>
      <c r="AC17" s="39">
        <v>0</v>
      </c>
      <c r="AD17" s="934">
        <f t="shared" si="3"/>
        <v>0.15</v>
      </c>
      <c r="AE17" s="423">
        <f>SUM(E17:AC17)</f>
        <v>1.05</v>
      </c>
      <c r="AF17" s="418"/>
      <c r="AG17" s="337"/>
    </row>
    <row r="18" spans="1:33" s="4" customFormat="1" ht="17.25" customHeight="1">
      <c r="A18" s="513"/>
      <c r="B18" s="529"/>
      <c r="C18" s="529"/>
      <c r="D18" s="5" t="s">
        <v>11</v>
      </c>
      <c r="E18" s="39">
        <v>0</v>
      </c>
      <c r="F18" s="39">
        <v>0</v>
      </c>
      <c r="G18" s="39">
        <v>0</v>
      </c>
      <c r="H18" s="39">
        <v>0</v>
      </c>
      <c r="I18" s="39">
        <v>4</v>
      </c>
      <c r="J18" s="39">
        <v>0</v>
      </c>
      <c r="K18" s="39">
        <f t="shared" si="0"/>
        <v>4</v>
      </c>
      <c r="L18" s="39">
        <v>0</v>
      </c>
      <c r="M18" s="39">
        <v>0</v>
      </c>
      <c r="N18" s="39">
        <v>0</v>
      </c>
      <c r="O18" s="39">
        <v>4</v>
      </c>
      <c r="P18" s="39">
        <v>0</v>
      </c>
      <c r="Q18" s="39">
        <f t="shared" si="1"/>
        <v>4</v>
      </c>
      <c r="R18" s="39">
        <v>0</v>
      </c>
      <c r="S18" s="39">
        <v>0</v>
      </c>
      <c r="T18" s="39">
        <v>0</v>
      </c>
      <c r="U18" s="39">
        <v>4</v>
      </c>
      <c r="V18" s="39">
        <v>0</v>
      </c>
      <c r="W18" s="39">
        <f t="shared" si="2"/>
        <v>4</v>
      </c>
      <c r="X18" s="39">
        <v>0</v>
      </c>
      <c r="Y18" s="39">
        <v>0</v>
      </c>
      <c r="Z18" s="39">
        <v>0</v>
      </c>
      <c r="AA18" s="39">
        <v>0</v>
      </c>
      <c r="AB18" s="39">
        <v>4</v>
      </c>
      <c r="AC18" s="39">
        <v>0</v>
      </c>
      <c r="AD18" s="934">
        <f t="shared" si="3"/>
        <v>4</v>
      </c>
      <c r="AE18" s="423">
        <f>SUM(E18:AC18)</f>
        <v>28</v>
      </c>
      <c r="AF18" s="418"/>
      <c r="AG18" s="337"/>
    </row>
    <row r="19" spans="1:33" s="4" customFormat="1" ht="21" customHeight="1">
      <c r="A19" s="512">
        <v>3</v>
      </c>
      <c r="B19" s="627" t="s">
        <v>817</v>
      </c>
      <c r="C19" s="5" t="s">
        <v>7</v>
      </c>
      <c r="D19" s="5" t="s">
        <v>8</v>
      </c>
      <c r="E19" s="39">
        <v>0</v>
      </c>
      <c r="F19" s="39">
        <v>0</v>
      </c>
      <c r="G19" s="39">
        <v>0</v>
      </c>
      <c r="H19" s="39">
        <v>0</v>
      </c>
      <c r="I19" s="39">
        <v>0</v>
      </c>
      <c r="J19" s="39">
        <v>0</v>
      </c>
      <c r="K19" s="39">
        <f t="shared" si="0"/>
        <v>0</v>
      </c>
      <c r="L19" s="39">
        <v>0</v>
      </c>
      <c r="M19" s="39">
        <v>0</v>
      </c>
      <c r="N19" s="39">
        <v>0</v>
      </c>
      <c r="O19" s="39">
        <v>0</v>
      </c>
      <c r="P19" s="39">
        <v>0</v>
      </c>
      <c r="Q19" s="39">
        <f t="shared" si="1"/>
        <v>0</v>
      </c>
      <c r="R19" s="39">
        <v>0</v>
      </c>
      <c r="S19" s="39">
        <v>0</v>
      </c>
      <c r="T19" s="39">
        <v>0</v>
      </c>
      <c r="U19" s="39">
        <v>0</v>
      </c>
      <c r="V19" s="39">
        <v>0</v>
      </c>
      <c r="W19" s="39">
        <f t="shared" si="2"/>
        <v>0</v>
      </c>
      <c r="X19" s="39">
        <v>0</v>
      </c>
      <c r="Y19" s="39">
        <v>0</v>
      </c>
      <c r="Z19" s="39">
        <v>0</v>
      </c>
      <c r="AA19" s="39">
        <v>0</v>
      </c>
      <c r="AB19" s="39">
        <v>0</v>
      </c>
      <c r="AC19" s="39">
        <v>0</v>
      </c>
      <c r="AD19" s="934">
        <f t="shared" si="3"/>
        <v>0</v>
      </c>
      <c r="AE19" s="423">
        <f>SUM(E19:AC19)</f>
        <v>0</v>
      </c>
      <c r="AF19" s="418"/>
      <c r="AG19" s="337"/>
    </row>
    <row r="20" spans="1:33" s="4" customFormat="1" ht="17.25" customHeight="1">
      <c r="A20" s="553"/>
      <c r="B20" s="628"/>
      <c r="C20" s="527" t="s">
        <v>12</v>
      </c>
      <c r="D20" s="5" t="s">
        <v>17</v>
      </c>
      <c r="E20" s="39">
        <v>0</v>
      </c>
      <c r="F20" s="39">
        <v>0.7</v>
      </c>
      <c r="G20" s="39">
        <v>0</v>
      </c>
      <c r="H20" s="39">
        <v>0</v>
      </c>
      <c r="I20" s="39">
        <v>2.5</v>
      </c>
      <c r="J20" s="39">
        <v>0</v>
      </c>
      <c r="K20" s="39">
        <f t="shared" si="0"/>
        <v>3.2</v>
      </c>
      <c r="L20" s="359">
        <f>200000/100000</f>
        <v>2</v>
      </c>
      <c r="M20" s="39">
        <v>0</v>
      </c>
      <c r="N20" s="39">
        <v>2.5</v>
      </c>
      <c r="O20" s="39">
        <v>0</v>
      </c>
      <c r="P20" s="39">
        <v>0</v>
      </c>
      <c r="Q20" s="39">
        <f t="shared" si="1"/>
        <v>4.5</v>
      </c>
      <c r="R20" s="39">
        <v>0</v>
      </c>
      <c r="S20" s="39">
        <v>2</v>
      </c>
      <c r="T20" s="39">
        <v>2</v>
      </c>
      <c r="U20" s="39">
        <v>2.5</v>
      </c>
      <c r="V20" s="39">
        <v>0</v>
      </c>
      <c r="W20" s="39">
        <f t="shared" si="2"/>
        <v>6.5</v>
      </c>
      <c r="X20" s="359">
        <f>200000/100000</f>
        <v>2</v>
      </c>
      <c r="Y20" s="39">
        <v>0</v>
      </c>
      <c r="Z20" s="39">
        <v>0</v>
      </c>
      <c r="AA20" s="39">
        <v>2</v>
      </c>
      <c r="AB20" s="39">
        <v>0</v>
      </c>
      <c r="AC20" s="319">
        <v>4</v>
      </c>
      <c r="AD20" s="934">
        <f t="shared" si="3"/>
        <v>8</v>
      </c>
      <c r="AE20" s="423">
        <f>SUM(E20:AC20)</f>
        <v>36.4</v>
      </c>
      <c r="AF20" s="418"/>
      <c r="AG20" s="337"/>
    </row>
    <row r="21" spans="1:33" s="4" customFormat="1" ht="17.25" customHeight="1">
      <c r="A21" s="553"/>
      <c r="B21" s="628"/>
      <c r="C21" s="590"/>
      <c r="D21" s="5" t="s">
        <v>18</v>
      </c>
      <c r="E21" s="359">
        <f>200000/100000</f>
        <v>2</v>
      </c>
      <c r="F21" s="39">
        <v>0.3</v>
      </c>
      <c r="G21" s="39">
        <v>0.2</v>
      </c>
      <c r="H21" s="39">
        <v>0.5</v>
      </c>
      <c r="I21" s="39">
        <v>0.75</v>
      </c>
      <c r="J21" s="319">
        <v>0.5</v>
      </c>
      <c r="K21" s="39">
        <f t="shared" si="0"/>
        <v>4.25</v>
      </c>
      <c r="L21" s="359">
        <f>200000/100000</f>
        <v>2</v>
      </c>
      <c r="M21" s="39">
        <v>0.2</v>
      </c>
      <c r="N21" s="39">
        <v>0.5</v>
      </c>
      <c r="O21" s="39">
        <v>0</v>
      </c>
      <c r="P21" s="319">
        <v>0.5</v>
      </c>
      <c r="Q21" s="39">
        <f t="shared" si="1"/>
        <v>3.2</v>
      </c>
      <c r="R21" s="359">
        <f>200000/100000</f>
        <v>2</v>
      </c>
      <c r="S21" s="39">
        <v>0.2</v>
      </c>
      <c r="T21" s="39">
        <v>0.5</v>
      </c>
      <c r="U21" s="39">
        <v>0.75</v>
      </c>
      <c r="V21" s="319">
        <v>0.5</v>
      </c>
      <c r="W21" s="39">
        <f t="shared" si="2"/>
        <v>3.95</v>
      </c>
      <c r="X21" s="359">
        <f>200000/100000</f>
        <v>2</v>
      </c>
      <c r="Y21" s="39">
        <v>0</v>
      </c>
      <c r="Z21" s="39">
        <v>0.2</v>
      </c>
      <c r="AA21" s="39">
        <v>0.5</v>
      </c>
      <c r="AB21" s="39">
        <v>0</v>
      </c>
      <c r="AC21" s="319">
        <v>2</v>
      </c>
      <c r="AD21" s="934">
        <f t="shared" si="3"/>
        <v>4.7</v>
      </c>
      <c r="AE21" s="423">
        <f>SUM(E21:AC21)</f>
        <v>27.499999999999996</v>
      </c>
      <c r="AF21" s="418"/>
      <c r="AG21" s="337"/>
    </row>
    <row r="22" spans="1:33" s="4" customFormat="1" ht="17.25" customHeight="1">
      <c r="A22" s="553"/>
      <c r="B22" s="628"/>
      <c r="C22" s="590"/>
      <c r="D22" s="5" t="s">
        <v>19</v>
      </c>
      <c r="E22" s="39">
        <v>0</v>
      </c>
      <c r="F22" s="39">
        <v>0</v>
      </c>
      <c r="G22" s="39">
        <v>0.05</v>
      </c>
      <c r="H22" s="39">
        <v>0.5</v>
      </c>
      <c r="I22" s="39">
        <v>0.25</v>
      </c>
      <c r="J22" s="39">
        <v>0</v>
      </c>
      <c r="K22" s="39">
        <f t="shared" si="0"/>
        <v>0.8</v>
      </c>
      <c r="L22" s="39">
        <v>0</v>
      </c>
      <c r="M22" s="39">
        <v>0.05</v>
      </c>
      <c r="N22" s="39">
        <v>0.5</v>
      </c>
      <c r="O22" s="39">
        <v>0</v>
      </c>
      <c r="P22" s="39">
        <v>0</v>
      </c>
      <c r="Q22" s="39">
        <f t="shared" si="1"/>
        <v>0.55000000000000004</v>
      </c>
      <c r="R22" s="39">
        <v>0</v>
      </c>
      <c r="S22" s="39">
        <v>0.05</v>
      </c>
      <c r="T22" s="39">
        <v>0.5</v>
      </c>
      <c r="U22" s="39">
        <v>0.25</v>
      </c>
      <c r="V22" s="39">
        <v>0</v>
      </c>
      <c r="W22" s="39">
        <f t="shared" si="2"/>
        <v>0.8</v>
      </c>
      <c r="X22" s="39">
        <v>0</v>
      </c>
      <c r="Y22" s="39">
        <v>0.7</v>
      </c>
      <c r="Z22" s="39">
        <v>0.05</v>
      </c>
      <c r="AA22" s="39">
        <v>0.5</v>
      </c>
      <c r="AB22" s="39">
        <v>0</v>
      </c>
      <c r="AC22" s="39">
        <v>0</v>
      </c>
      <c r="AD22" s="934">
        <f t="shared" si="3"/>
        <v>1.25</v>
      </c>
      <c r="AE22" s="423">
        <f>SUM(E22:AC22)</f>
        <v>5.55</v>
      </c>
      <c r="AF22" s="418"/>
      <c r="AG22" s="337"/>
    </row>
    <row r="23" spans="1:33" s="4" customFormat="1" ht="17.25" customHeight="1">
      <c r="A23" s="513"/>
      <c r="B23" s="629"/>
      <c r="C23" s="529"/>
      <c r="D23" s="5" t="s">
        <v>11</v>
      </c>
      <c r="E23" s="39">
        <v>0</v>
      </c>
      <c r="F23" s="39">
        <v>0.01</v>
      </c>
      <c r="G23" s="39">
        <v>0</v>
      </c>
      <c r="H23" s="39">
        <v>0</v>
      </c>
      <c r="I23" s="39">
        <v>0</v>
      </c>
      <c r="J23" s="39">
        <v>0</v>
      </c>
      <c r="K23" s="39">
        <f t="shared" si="0"/>
        <v>0.01</v>
      </c>
      <c r="L23" s="39">
        <v>0</v>
      </c>
      <c r="M23" s="39">
        <v>0</v>
      </c>
      <c r="N23" s="39">
        <v>0</v>
      </c>
      <c r="O23" s="39">
        <v>0</v>
      </c>
      <c r="P23" s="39">
        <v>0</v>
      </c>
      <c r="Q23" s="39">
        <f t="shared" si="1"/>
        <v>0</v>
      </c>
      <c r="R23" s="39">
        <v>0</v>
      </c>
      <c r="S23" s="39">
        <v>0</v>
      </c>
      <c r="T23" s="39">
        <v>0</v>
      </c>
      <c r="U23" s="39">
        <v>0</v>
      </c>
      <c r="V23" s="39">
        <v>0</v>
      </c>
      <c r="W23" s="39">
        <f t="shared" si="2"/>
        <v>0</v>
      </c>
      <c r="X23" s="39">
        <v>0</v>
      </c>
      <c r="Y23" s="365">
        <v>0.3</v>
      </c>
      <c r="Z23" s="365">
        <v>0</v>
      </c>
      <c r="AA23" s="365">
        <v>0</v>
      </c>
      <c r="AB23" s="39">
        <v>0</v>
      </c>
      <c r="AC23" s="39">
        <v>0</v>
      </c>
      <c r="AD23" s="934">
        <f t="shared" si="3"/>
        <v>0.3</v>
      </c>
      <c r="AE23" s="423">
        <f>SUM(E23:AC23)</f>
        <v>0.32</v>
      </c>
      <c r="AF23" s="418"/>
      <c r="AG23" s="424"/>
    </row>
    <row r="24" spans="1:33" s="308" customFormat="1" ht="27" customHeight="1">
      <c r="A24" s="479">
        <v>4</v>
      </c>
      <c r="B24" s="483" t="s">
        <v>610</v>
      </c>
      <c r="C24" s="38" t="s">
        <v>138</v>
      </c>
      <c r="D24" s="10" t="s">
        <v>139</v>
      </c>
      <c r="E24" s="623">
        <v>52.72</v>
      </c>
      <c r="F24" s="624"/>
      <c r="G24" s="624"/>
      <c r="H24" s="624"/>
      <c r="I24" s="624"/>
      <c r="J24" s="625"/>
      <c r="K24" s="368"/>
      <c r="L24" s="623">
        <v>52.75</v>
      </c>
      <c r="M24" s="624"/>
      <c r="N24" s="624"/>
      <c r="O24" s="624"/>
      <c r="P24" s="625"/>
      <c r="Q24" s="368"/>
      <c r="R24" s="623">
        <v>52.75</v>
      </c>
      <c r="S24" s="624"/>
      <c r="T24" s="624"/>
      <c r="U24" s="624"/>
      <c r="V24" s="625"/>
      <c r="W24" s="935"/>
      <c r="X24" s="626">
        <v>52.75</v>
      </c>
      <c r="Y24" s="626"/>
      <c r="Z24" s="626"/>
      <c r="AA24" s="626"/>
      <c r="AB24" s="626"/>
      <c r="AC24" s="626"/>
      <c r="AD24" s="955"/>
      <c r="AE24" s="409">
        <f>SUM(E24:AC24)</f>
        <v>210.97</v>
      </c>
      <c r="AF24" s="337"/>
      <c r="AG24" s="426"/>
    </row>
    <row r="25" spans="1:33" s="307" customFormat="1" ht="15" customHeight="1">
      <c r="A25" s="479"/>
      <c r="B25" s="483"/>
      <c r="C25" s="483" t="s">
        <v>127</v>
      </c>
      <c r="D25" s="27" t="s">
        <v>95</v>
      </c>
      <c r="E25" s="623">
        <v>42.35</v>
      </c>
      <c r="F25" s="624"/>
      <c r="G25" s="624"/>
      <c r="H25" s="624"/>
      <c r="I25" s="624"/>
      <c r="J25" s="625"/>
      <c r="K25" s="935"/>
      <c r="L25" s="626">
        <v>10.7</v>
      </c>
      <c r="M25" s="626"/>
      <c r="N25" s="626"/>
      <c r="O25" s="626"/>
      <c r="P25" s="626"/>
      <c r="Q25" s="348"/>
      <c r="R25" s="626">
        <v>5.68</v>
      </c>
      <c r="S25" s="626"/>
      <c r="T25" s="626"/>
      <c r="U25" s="626"/>
      <c r="V25" s="626"/>
      <c r="W25" s="348"/>
      <c r="X25" s="622">
        <v>0</v>
      </c>
      <c r="Y25" s="622"/>
      <c r="Z25" s="622"/>
      <c r="AA25" s="622"/>
      <c r="AB25" s="622"/>
      <c r="AC25" s="622"/>
      <c r="AD25" s="950"/>
      <c r="AE25" s="409">
        <f>SUM(E25:AC25)</f>
        <v>58.73</v>
      </c>
      <c r="AF25" s="337"/>
      <c r="AG25" s="427"/>
    </row>
    <row r="26" spans="1:33" s="307" customFormat="1" ht="20.25" customHeight="1">
      <c r="A26" s="479"/>
      <c r="B26" s="483"/>
      <c r="C26" s="483"/>
      <c r="D26" s="27" t="s">
        <v>96</v>
      </c>
      <c r="E26" s="615">
        <v>5</v>
      </c>
      <c r="F26" s="616"/>
      <c r="G26" s="616"/>
      <c r="H26" s="616"/>
      <c r="I26" s="616"/>
      <c r="J26" s="617"/>
      <c r="K26" s="936"/>
      <c r="L26" s="621">
        <v>5</v>
      </c>
      <c r="M26" s="621"/>
      <c r="N26" s="621"/>
      <c r="O26" s="621"/>
      <c r="P26" s="621"/>
      <c r="Q26" s="33"/>
      <c r="R26" s="621">
        <v>5</v>
      </c>
      <c r="S26" s="621"/>
      <c r="T26" s="621"/>
      <c r="U26" s="621"/>
      <c r="V26" s="621"/>
      <c r="W26" s="33"/>
      <c r="X26" s="621">
        <v>5</v>
      </c>
      <c r="Y26" s="621"/>
      <c r="Z26" s="621"/>
      <c r="AA26" s="621"/>
      <c r="AB26" s="621"/>
      <c r="AC26" s="621"/>
      <c r="AD26" s="946"/>
      <c r="AE26" s="423">
        <f>SUM(E26:AC26)</f>
        <v>20</v>
      </c>
      <c r="AF26" s="418"/>
      <c r="AG26" s="427"/>
    </row>
    <row r="27" spans="1:33" s="307" customFormat="1" ht="35.25" customHeight="1">
      <c r="A27" s="479"/>
      <c r="B27" s="483"/>
      <c r="C27" s="483"/>
      <c r="D27" s="27" t="s">
        <v>97</v>
      </c>
      <c r="E27" s="615">
        <v>9</v>
      </c>
      <c r="F27" s="616"/>
      <c r="G27" s="616"/>
      <c r="H27" s="616"/>
      <c r="I27" s="616"/>
      <c r="J27" s="617"/>
      <c r="K27" s="936"/>
      <c r="L27" s="621">
        <v>7</v>
      </c>
      <c r="M27" s="621"/>
      <c r="N27" s="621"/>
      <c r="O27" s="621"/>
      <c r="P27" s="621"/>
      <c r="Q27" s="33"/>
      <c r="R27" s="621">
        <v>7</v>
      </c>
      <c r="S27" s="621"/>
      <c r="T27" s="621"/>
      <c r="U27" s="621"/>
      <c r="V27" s="621"/>
      <c r="W27" s="33"/>
      <c r="X27" s="621">
        <v>7</v>
      </c>
      <c r="Y27" s="621"/>
      <c r="Z27" s="621"/>
      <c r="AA27" s="621"/>
      <c r="AB27" s="621"/>
      <c r="AC27" s="621"/>
      <c r="AD27" s="946"/>
      <c r="AE27" s="423">
        <f>SUM(E27:AC27)</f>
        <v>30</v>
      </c>
      <c r="AF27" s="418"/>
      <c r="AG27" s="427"/>
    </row>
    <row r="28" spans="1:33" s="307" customFormat="1" ht="35.25" customHeight="1">
      <c r="A28" s="479"/>
      <c r="B28" s="483"/>
      <c r="C28" s="483"/>
      <c r="D28" s="27" t="s">
        <v>98</v>
      </c>
      <c r="E28" s="615">
        <v>0</v>
      </c>
      <c r="F28" s="616"/>
      <c r="G28" s="616"/>
      <c r="H28" s="616"/>
      <c r="I28" s="616"/>
      <c r="J28" s="617"/>
      <c r="K28" s="936"/>
      <c r="L28" s="621">
        <v>5</v>
      </c>
      <c r="M28" s="621"/>
      <c r="N28" s="621"/>
      <c r="O28" s="621"/>
      <c r="P28" s="621"/>
      <c r="Q28" s="33"/>
      <c r="R28" s="621">
        <v>0</v>
      </c>
      <c r="S28" s="621"/>
      <c r="T28" s="621"/>
      <c r="U28" s="621"/>
      <c r="V28" s="621"/>
      <c r="W28" s="33"/>
      <c r="X28" s="621">
        <v>5</v>
      </c>
      <c r="Y28" s="621"/>
      <c r="Z28" s="621"/>
      <c r="AA28" s="621"/>
      <c r="AB28" s="621"/>
      <c r="AC28" s="621"/>
      <c r="AD28" s="946"/>
      <c r="AE28" s="423">
        <f>SUM(E28:AC28)</f>
        <v>10</v>
      </c>
      <c r="AF28" s="418"/>
      <c r="AG28" s="427"/>
    </row>
    <row r="29" spans="1:33" s="307" customFormat="1" ht="18.75" customHeight="1">
      <c r="A29" s="479"/>
      <c r="B29" s="483"/>
      <c r="C29" s="483"/>
      <c r="D29" s="27" t="s">
        <v>99</v>
      </c>
      <c r="E29" s="615">
        <v>1</v>
      </c>
      <c r="F29" s="616"/>
      <c r="G29" s="616"/>
      <c r="H29" s="616"/>
      <c r="I29" s="616"/>
      <c r="J29" s="617"/>
      <c r="K29" s="936"/>
      <c r="L29" s="621">
        <v>1</v>
      </c>
      <c r="M29" s="621"/>
      <c r="N29" s="621"/>
      <c r="O29" s="621"/>
      <c r="P29" s="621"/>
      <c r="Q29" s="33"/>
      <c r="R29" s="621">
        <v>1</v>
      </c>
      <c r="S29" s="621"/>
      <c r="T29" s="621"/>
      <c r="U29" s="621"/>
      <c r="V29" s="621"/>
      <c r="W29" s="33"/>
      <c r="X29" s="621">
        <v>1</v>
      </c>
      <c r="Y29" s="621"/>
      <c r="Z29" s="621"/>
      <c r="AA29" s="621"/>
      <c r="AB29" s="621"/>
      <c r="AC29" s="621"/>
      <c r="AD29" s="946"/>
      <c r="AE29" s="423">
        <f>SUM(E29:AC29)</f>
        <v>4</v>
      </c>
      <c r="AF29" s="418"/>
      <c r="AG29" s="427"/>
    </row>
    <row r="30" spans="1:33" s="307" customFormat="1" ht="35.25" customHeight="1">
      <c r="A30" s="479"/>
      <c r="B30" s="483"/>
      <c r="C30" s="483"/>
      <c r="D30" s="27" t="s">
        <v>100</v>
      </c>
      <c r="E30" s="615">
        <v>0.5</v>
      </c>
      <c r="F30" s="616"/>
      <c r="G30" s="616"/>
      <c r="H30" s="616"/>
      <c r="I30" s="616"/>
      <c r="J30" s="617"/>
      <c r="K30" s="936"/>
      <c r="L30" s="621">
        <v>0.5</v>
      </c>
      <c r="M30" s="621"/>
      <c r="N30" s="621"/>
      <c r="O30" s="621"/>
      <c r="P30" s="621"/>
      <c r="Q30" s="33"/>
      <c r="R30" s="621">
        <v>0.5</v>
      </c>
      <c r="S30" s="621"/>
      <c r="T30" s="621"/>
      <c r="U30" s="621"/>
      <c r="V30" s="621"/>
      <c r="W30" s="33"/>
      <c r="X30" s="621">
        <v>0.5</v>
      </c>
      <c r="Y30" s="621"/>
      <c r="Z30" s="621"/>
      <c r="AA30" s="621"/>
      <c r="AB30" s="621"/>
      <c r="AC30" s="621"/>
      <c r="AD30" s="946"/>
      <c r="AE30" s="423">
        <f>SUM(E30:AC30)</f>
        <v>2</v>
      </c>
      <c r="AF30" s="418"/>
      <c r="AG30" s="427"/>
    </row>
    <row r="31" spans="1:33" s="307" customFormat="1" ht="35.25" customHeight="1">
      <c r="A31" s="479"/>
      <c r="B31" s="483"/>
      <c r="C31" s="483"/>
      <c r="D31" s="27" t="s">
        <v>101</v>
      </c>
      <c r="E31" s="615">
        <v>10</v>
      </c>
      <c r="F31" s="616"/>
      <c r="G31" s="616"/>
      <c r="H31" s="616"/>
      <c r="I31" s="616"/>
      <c r="J31" s="617"/>
      <c r="K31" s="936"/>
      <c r="L31" s="621">
        <v>0</v>
      </c>
      <c r="M31" s="621"/>
      <c r="N31" s="621"/>
      <c r="O31" s="621"/>
      <c r="P31" s="621"/>
      <c r="Q31" s="33"/>
      <c r="R31" s="621">
        <v>0</v>
      </c>
      <c r="S31" s="621"/>
      <c r="T31" s="621"/>
      <c r="U31" s="621"/>
      <c r="V31" s="621"/>
      <c r="W31" s="33"/>
      <c r="X31" s="621">
        <v>0</v>
      </c>
      <c r="Y31" s="621"/>
      <c r="Z31" s="621"/>
      <c r="AA31" s="621"/>
      <c r="AB31" s="621"/>
      <c r="AC31" s="621"/>
      <c r="AD31" s="946"/>
      <c r="AE31" s="423">
        <f>SUM(E31:AC31)</f>
        <v>10</v>
      </c>
      <c r="AF31" s="418"/>
      <c r="AG31" s="427"/>
    </row>
    <row r="32" spans="1:33" s="307" customFormat="1" ht="16.5" customHeight="1">
      <c r="A32" s="479"/>
      <c r="B32" s="483"/>
      <c r="C32" s="483"/>
      <c r="D32" s="27" t="s">
        <v>102</v>
      </c>
      <c r="E32" s="615">
        <v>1</v>
      </c>
      <c r="F32" s="616"/>
      <c r="G32" s="616"/>
      <c r="H32" s="616"/>
      <c r="I32" s="616"/>
      <c r="J32" s="617"/>
      <c r="K32" s="937"/>
      <c r="L32" s="618">
        <v>1</v>
      </c>
      <c r="M32" s="619"/>
      <c r="N32" s="619"/>
      <c r="O32" s="619"/>
      <c r="P32" s="620"/>
      <c r="Q32" s="946"/>
      <c r="R32" s="618">
        <v>1</v>
      </c>
      <c r="S32" s="619"/>
      <c r="T32" s="619"/>
      <c r="U32" s="619"/>
      <c r="V32" s="620"/>
      <c r="W32" s="370"/>
      <c r="X32" s="621">
        <v>1</v>
      </c>
      <c r="Y32" s="621"/>
      <c r="Z32" s="621"/>
      <c r="AA32" s="621"/>
      <c r="AB32" s="621"/>
      <c r="AC32" s="621"/>
      <c r="AD32" s="946"/>
      <c r="AE32" s="423">
        <f>SUM(E32:AC32)</f>
        <v>4</v>
      </c>
      <c r="AF32" s="418"/>
      <c r="AG32" s="427"/>
    </row>
    <row r="33" spans="1:33" s="4" customFormat="1" ht="17.25" customHeight="1">
      <c r="A33" s="512">
        <v>5</v>
      </c>
      <c r="B33" s="527" t="s">
        <v>21</v>
      </c>
      <c r="C33" s="527" t="s">
        <v>7</v>
      </c>
      <c r="D33" s="11" t="s">
        <v>8</v>
      </c>
      <c r="E33" s="566">
        <v>0</v>
      </c>
      <c r="F33" s="574"/>
      <c r="G33" s="574"/>
      <c r="H33" s="574"/>
      <c r="I33" s="574"/>
      <c r="J33" s="614"/>
      <c r="K33" s="938"/>
      <c r="L33" s="567">
        <v>0</v>
      </c>
      <c r="M33" s="568"/>
      <c r="N33" s="568"/>
      <c r="O33" s="568"/>
      <c r="P33" s="577"/>
      <c r="Q33" s="373"/>
      <c r="R33" s="576">
        <v>0</v>
      </c>
      <c r="S33" s="568"/>
      <c r="T33" s="568"/>
      <c r="U33" s="568"/>
      <c r="V33" s="577"/>
      <c r="W33" s="373"/>
      <c r="X33" s="576">
        <v>0</v>
      </c>
      <c r="Y33" s="568"/>
      <c r="Z33" s="568"/>
      <c r="AA33" s="568"/>
      <c r="AB33" s="568"/>
      <c r="AC33" s="577"/>
      <c r="AD33" s="943"/>
      <c r="AE33" s="423">
        <f>SUM(E33:AC33)</f>
        <v>0</v>
      </c>
      <c r="AF33" s="418"/>
      <c r="AG33" s="337"/>
    </row>
    <row r="34" spans="1:33" s="4" customFormat="1" ht="17.25" customHeight="1">
      <c r="A34" s="553"/>
      <c r="B34" s="590"/>
      <c r="C34" s="529"/>
      <c r="D34" s="11" t="s">
        <v>11</v>
      </c>
      <c r="E34" s="566">
        <v>0.95</v>
      </c>
      <c r="F34" s="574"/>
      <c r="G34" s="574"/>
      <c r="H34" s="574"/>
      <c r="I34" s="574"/>
      <c r="J34" s="614"/>
      <c r="K34" s="938"/>
      <c r="L34" s="567">
        <v>0</v>
      </c>
      <c r="M34" s="568"/>
      <c r="N34" s="568"/>
      <c r="O34" s="568"/>
      <c r="P34" s="577"/>
      <c r="Q34" s="373"/>
      <c r="R34" s="576">
        <v>0</v>
      </c>
      <c r="S34" s="568"/>
      <c r="T34" s="568"/>
      <c r="U34" s="568"/>
      <c r="V34" s="577"/>
      <c r="W34" s="373"/>
      <c r="X34" s="576">
        <v>0</v>
      </c>
      <c r="Y34" s="568"/>
      <c r="Z34" s="568"/>
      <c r="AA34" s="568"/>
      <c r="AB34" s="568"/>
      <c r="AC34" s="577"/>
      <c r="AD34" s="943"/>
      <c r="AE34" s="423">
        <f>SUM(E34:AC34)</f>
        <v>0.95</v>
      </c>
      <c r="AF34" s="418"/>
      <c r="AG34" s="337"/>
    </row>
    <row r="35" spans="1:33" s="4" customFormat="1" ht="17.25" customHeight="1">
      <c r="A35" s="553"/>
      <c r="B35" s="590"/>
      <c r="C35" s="527" t="s">
        <v>12</v>
      </c>
      <c r="D35" s="11" t="s">
        <v>22</v>
      </c>
      <c r="E35" s="566">
        <v>15</v>
      </c>
      <c r="F35" s="574"/>
      <c r="G35" s="574"/>
      <c r="H35" s="574"/>
      <c r="I35" s="574"/>
      <c r="J35" s="614"/>
      <c r="K35" s="938"/>
      <c r="L35" s="567">
        <v>0</v>
      </c>
      <c r="M35" s="568"/>
      <c r="N35" s="568"/>
      <c r="O35" s="568"/>
      <c r="P35" s="577"/>
      <c r="Q35" s="373"/>
      <c r="R35" s="576">
        <v>0</v>
      </c>
      <c r="S35" s="568"/>
      <c r="T35" s="568"/>
      <c r="U35" s="568"/>
      <c r="V35" s="577"/>
      <c r="W35" s="373"/>
      <c r="X35" s="576">
        <v>20</v>
      </c>
      <c r="Y35" s="568"/>
      <c r="Z35" s="568"/>
      <c r="AA35" s="568"/>
      <c r="AB35" s="568"/>
      <c r="AC35" s="577"/>
      <c r="AD35" s="943"/>
      <c r="AE35" s="423">
        <f>SUM(E35:AC35)</f>
        <v>35</v>
      </c>
      <c r="AF35" s="418"/>
      <c r="AG35" s="337"/>
    </row>
    <row r="36" spans="1:33" s="4" customFormat="1" ht="17.25" customHeight="1">
      <c r="A36" s="553"/>
      <c r="B36" s="590"/>
      <c r="C36" s="590"/>
      <c r="D36" s="11" t="s">
        <v>23</v>
      </c>
      <c r="E36" s="566">
        <v>0</v>
      </c>
      <c r="F36" s="574"/>
      <c r="G36" s="574"/>
      <c r="H36" s="574"/>
      <c r="I36" s="574"/>
      <c r="J36" s="614"/>
      <c r="K36" s="938"/>
      <c r="L36" s="567">
        <v>1.5</v>
      </c>
      <c r="M36" s="568"/>
      <c r="N36" s="568"/>
      <c r="O36" s="568"/>
      <c r="P36" s="577"/>
      <c r="Q36" s="373"/>
      <c r="R36" s="576">
        <v>0</v>
      </c>
      <c r="S36" s="568"/>
      <c r="T36" s="568"/>
      <c r="U36" s="568"/>
      <c r="V36" s="577"/>
      <c r="W36" s="373"/>
      <c r="X36" s="576">
        <v>0</v>
      </c>
      <c r="Y36" s="568"/>
      <c r="Z36" s="568"/>
      <c r="AA36" s="568"/>
      <c r="AB36" s="568"/>
      <c r="AC36" s="577"/>
      <c r="AD36" s="943"/>
      <c r="AE36" s="423">
        <f>SUM(E36:AC36)</f>
        <v>1.5</v>
      </c>
      <c r="AF36" s="418"/>
      <c r="AG36" s="337"/>
    </row>
    <row r="37" spans="1:33" s="4" customFormat="1" ht="17.25" customHeight="1">
      <c r="A37" s="553"/>
      <c r="B37" s="590"/>
      <c r="C37" s="590"/>
      <c r="D37" s="11" t="s">
        <v>24</v>
      </c>
      <c r="E37" s="566">
        <v>1.04</v>
      </c>
      <c r="F37" s="574"/>
      <c r="G37" s="574"/>
      <c r="H37" s="574"/>
      <c r="I37" s="574"/>
      <c r="J37" s="614"/>
      <c r="K37" s="938"/>
      <c r="L37" s="567">
        <v>0</v>
      </c>
      <c r="M37" s="568"/>
      <c r="N37" s="568"/>
      <c r="O37" s="568"/>
      <c r="P37" s="577"/>
      <c r="Q37" s="373"/>
      <c r="R37" s="576">
        <v>0</v>
      </c>
      <c r="S37" s="568"/>
      <c r="T37" s="568"/>
      <c r="U37" s="568"/>
      <c r="V37" s="577"/>
      <c r="W37" s="373"/>
      <c r="X37" s="576">
        <v>0</v>
      </c>
      <c r="Y37" s="568"/>
      <c r="Z37" s="568"/>
      <c r="AA37" s="568"/>
      <c r="AB37" s="568"/>
      <c r="AC37" s="577"/>
      <c r="AD37" s="943"/>
      <c r="AE37" s="423">
        <f>SUM(E37:AC37)</f>
        <v>1.04</v>
      </c>
      <c r="AF37" s="418"/>
      <c r="AG37" s="337"/>
    </row>
    <row r="38" spans="1:33" s="4" customFormat="1" ht="17.25" customHeight="1">
      <c r="A38" s="553"/>
      <c r="B38" s="590"/>
      <c r="C38" s="590"/>
      <c r="D38" s="11" t="s">
        <v>818</v>
      </c>
      <c r="E38" s="566">
        <v>0</v>
      </c>
      <c r="F38" s="574"/>
      <c r="G38" s="574"/>
      <c r="H38" s="574"/>
      <c r="I38" s="574"/>
      <c r="J38" s="614"/>
      <c r="K38" s="938"/>
      <c r="L38" s="567">
        <v>2.5</v>
      </c>
      <c r="M38" s="568"/>
      <c r="N38" s="568"/>
      <c r="O38" s="568"/>
      <c r="P38" s="577"/>
      <c r="Q38" s="373"/>
      <c r="R38" s="576">
        <v>90</v>
      </c>
      <c r="S38" s="568"/>
      <c r="T38" s="568"/>
      <c r="U38" s="568"/>
      <c r="V38" s="577"/>
      <c r="W38" s="373"/>
      <c r="X38" s="576">
        <v>0</v>
      </c>
      <c r="Y38" s="568"/>
      <c r="Z38" s="568"/>
      <c r="AA38" s="568"/>
      <c r="AB38" s="568"/>
      <c r="AC38" s="577"/>
      <c r="AD38" s="943"/>
      <c r="AE38" s="423">
        <f>SUM(E38:AC38)</f>
        <v>92.5</v>
      </c>
      <c r="AF38" s="418"/>
      <c r="AG38" s="337"/>
    </row>
    <row r="39" spans="1:33" s="4" customFormat="1" ht="17.25" customHeight="1">
      <c r="A39" s="553"/>
      <c r="B39" s="590"/>
      <c r="C39" s="590"/>
      <c r="D39" s="11" t="s">
        <v>25</v>
      </c>
      <c r="E39" s="566">
        <v>7.4999999999999997E-2</v>
      </c>
      <c r="F39" s="574"/>
      <c r="G39" s="574"/>
      <c r="H39" s="574"/>
      <c r="I39" s="574"/>
      <c r="J39" s="614"/>
      <c r="K39" s="938"/>
      <c r="L39" s="567">
        <v>7.4999999999999997E-2</v>
      </c>
      <c r="M39" s="568"/>
      <c r="N39" s="568"/>
      <c r="O39" s="568"/>
      <c r="P39" s="577"/>
      <c r="Q39" s="373"/>
      <c r="R39" s="576">
        <v>7.4999999999999997E-2</v>
      </c>
      <c r="S39" s="568"/>
      <c r="T39" s="568"/>
      <c r="U39" s="568"/>
      <c r="V39" s="577"/>
      <c r="W39" s="373"/>
      <c r="X39" s="576">
        <v>7.4999999999999997E-2</v>
      </c>
      <c r="Y39" s="568"/>
      <c r="Z39" s="568"/>
      <c r="AA39" s="568"/>
      <c r="AB39" s="568"/>
      <c r="AC39" s="577"/>
      <c r="AD39" s="943"/>
      <c r="AE39" s="423">
        <f>SUM(E39:AC39)</f>
        <v>0.3</v>
      </c>
      <c r="AF39" s="418"/>
      <c r="AG39" s="337"/>
    </row>
    <row r="40" spans="1:33" s="4" customFormat="1" ht="17.25" customHeight="1">
      <c r="A40" s="513"/>
      <c r="B40" s="529"/>
      <c r="C40" s="529"/>
      <c r="D40" s="11" t="s">
        <v>11</v>
      </c>
      <c r="E40" s="566">
        <v>0</v>
      </c>
      <c r="F40" s="574"/>
      <c r="G40" s="574"/>
      <c r="H40" s="574"/>
      <c r="I40" s="574"/>
      <c r="J40" s="614"/>
      <c r="K40" s="938"/>
      <c r="L40" s="567">
        <v>0</v>
      </c>
      <c r="M40" s="568"/>
      <c r="N40" s="568"/>
      <c r="O40" s="568"/>
      <c r="P40" s="577"/>
      <c r="Q40" s="373"/>
      <c r="R40" s="576">
        <v>0</v>
      </c>
      <c r="S40" s="568"/>
      <c r="T40" s="568"/>
      <c r="U40" s="568"/>
      <c r="V40" s="577"/>
      <c r="W40" s="373"/>
      <c r="X40" s="576">
        <v>0</v>
      </c>
      <c r="Y40" s="568"/>
      <c r="Z40" s="568"/>
      <c r="AA40" s="568"/>
      <c r="AB40" s="568"/>
      <c r="AC40" s="577"/>
      <c r="AD40" s="943"/>
      <c r="AE40" s="423">
        <f>SUM(E40:AC40)</f>
        <v>0</v>
      </c>
      <c r="AF40" s="418"/>
      <c r="AG40" s="337"/>
    </row>
    <row r="41" spans="1:33" s="4" customFormat="1" ht="17.25" customHeight="1">
      <c r="A41" s="512">
        <v>6</v>
      </c>
      <c r="B41" s="527" t="s">
        <v>836</v>
      </c>
      <c r="C41" s="527" t="s">
        <v>7</v>
      </c>
      <c r="D41" s="5" t="s">
        <v>8</v>
      </c>
      <c r="E41" s="504"/>
      <c r="F41" s="505"/>
      <c r="G41" s="505"/>
      <c r="H41" s="505"/>
      <c r="I41" s="505"/>
      <c r="J41" s="506"/>
      <c r="K41" s="411"/>
      <c r="L41" s="609"/>
      <c r="M41" s="610"/>
      <c r="N41" s="610"/>
      <c r="O41" s="610"/>
      <c r="P41" s="611"/>
      <c r="Q41" s="377"/>
      <c r="R41" s="609"/>
      <c r="S41" s="610"/>
      <c r="T41" s="610"/>
      <c r="U41" s="610"/>
      <c r="V41" s="611"/>
      <c r="W41" s="411"/>
      <c r="X41" s="504"/>
      <c r="Y41" s="505"/>
      <c r="Z41" s="505"/>
      <c r="AA41" s="505"/>
      <c r="AB41" s="505"/>
      <c r="AC41" s="506"/>
      <c r="AD41" s="411"/>
      <c r="AE41" s="423"/>
      <c r="AF41" s="418"/>
      <c r="AG41" s="612" t="s">
        <v>810</v>
      </c>
    </row>
    <row r="42" spans="1:33" s="4" customFormat="1" ht="17.25" customHeight="1">
      <c r="A42" s="553"/>
      <c r="B42" s="590"/>
      <c r="C42" s="529"/>
      <c r="D42" s="5" t="s">
        <v>11</v>
      </c>
      <c r="E42" s="504"/>
      <c r="F42" s="505"/>
      <c r="G42" s="505"/>
      <c r="H42" s="505"/>
      <c r="I42" s="505"/>
      <c r="J42" s="506"/>
      <c r="K42" s="411"/>
      <c r="L42" s="609"/>
      <c r="M42" s="610"/>
      <c r="N42" s="610"/>
      <c r="O42" s="610"/>
      <c r="P42" s="611"/>
      <c r="Q42" s="377"/>
      <c r="R42" s="609"/>
      <c r="S42" s="610"/>
      <c r="T42" s="610"/>
      <c r="U42" s="610"/>
      <c r="V42" s="611"/>
      <c r="W42" s="411"/>
      <c r="X42" s="504"/>
      <c r="Y42" s="505"/>
      <c r="Z42" s="505"/>
      <c r="AA42" s="505"/>
      <c r="AB42" s="505"/>
      <c r="AC42" s="506"/>
      <c r="AD42" s="411"/>
      <c r="AE42" s="423"/>
      <c r="AF42" s="418"/>
      <c r="AG42" s="613"/>
    </row>
    <row r="43" spans="1:33" s="4" customFormat="1" ht="17.25" customHeight="1">
      <c r="A43" s="553"/>
      <c r="B43" s="590"/>
      <c r="C43" s="527" t="s">
        <v>12</v>
      </c>
      <c r="D43" s="5" t="s">
        <v>15</v>
      </c>
      <c r="E43" s="504"/>
      <c r="F43" s="505"/>
      <c r="G43" s="505"/>
      <c r="H43" s="505"/>
      <c r="I43" s="505"/>
      <c r="J43" s="506"/>
      <c r="K43" s="411"/>
      <c r="L43" s="609"/>
      <c r="M43" s="610"/>
      <c r="N43" s="610"/>
      <c r="O43" s="610"/>
      <c r="P43" s="611"/>
      <c r="Q43" s="377"/>
      <c r="R43" s="609"/>
      <c r="S43" s="610"/>
      <c r="T43" s="610"/>
      <c r="U43" s="610"/>
      <c r="V43" s="611"/>
      <c r="W43" s="411"/>
      <c r="X43" s="504"/>
      <c r="Y43" s="505"/>
      <c r="Z43" s="505"/>
      <c r="AA43" s="505"/>
      <c r="AB43" s="505"/>
      <c r="AC43" s="506"/>
      <c r="AD43" s="411"/>
      <c r="AE43" s="423"/>
      <c r="AF43" s="418"/>
      <c r="AG43" s="613"/>
    </row>
    <row r="44" spans="1:33" s="4" customFormat="1" ht="27" customHeight="1">
      <c r="A44" s="513"/>
      <c r="B44" s="529"/>
      <c r="C44" s="529"/>
      <c r="D44" s="5" t="s">
        <v>11</v>
      </c>
      <c r="E44" s="504"/>
      <c r="F44" s="505"/>
      <c r="G44" s="505"/>
      <c r="H44" s="505"/>
      <c r="I44" s="505"/>
      <c r="J44" s="506"/>
      <c r="K44" s="411"/>
      <c r="L44" s="609"/>
      <c r="M44" s="610"/>
      <c r="N44" s="610"/>
      <c r="O44" s="610"/>
      <c r="P44" s="611"/>
      <c r="Q44" s="377"/>
      <c r="R44" s="609"/>
      <c r="S44" s="610"/>
      <c r="T44" s="610"/>
      <c r="U44" s="610"/>
      <c r="V44" s="611"/>
      <c r="W44" s="411"/>
      <c r="X44" s="504"/>
      <c r="Y44" s="505"/>
      <c r="Z44" s="505"/>
      <c r="AA44" s="505"/>
      <c r="AB44" s="505"/>
      <c r="AC44" s="506"/>
      <c r="AD44" s="411"/>
      <c r="AE44" s="423"/>
      <c r="AF44" s="418"/>
      <c r="AG44" s="516"/>
    </row>
    <row r="45" spans="1:33" s="4" customFormat="1" ht="17.25" customHeight="1">
      <c r="A45" s="541">
        <v>7</v>
      </c>
      <c r="B45" s="543" t="s">
        <v>119</v>
      </c>
      <c r="C45" s="543" t="s">
        <v>7</v>
      </c>
      <c r="D45" s="378" t="s">
        <v>8</v>
      </c>
      <c r="E45" s="603">
        <v>1.5</v>
      </c>
      <c r="F45" s="604"/>
      <c r="G45" s="604"/>
      <c r="H45" s="604"/>
      <c r="I45" s="604"/>
      <c r="J45" s="605"/>
      <c r="K45" s="380"/>
      <c r="L45" s="606">
        <v>0</v>
      </c>
      <c r="M45" s="607"/>
      <c r="N45" s="607"/>
      <c r="O45" s="607"/>
      <c r="P45" s="608"/>
      <c r="Q45" s="382"/>
      <c r="R45" s="606">
        <v>0</v>
      </c>
      <c r="S45" s="607"/>
      <c r="T45" s="607"/>
      <c r="U45" s="607"/>
      <c r="V45" s="608"/>
      <c r="W45" s="948"/>
      <c r="X45" s="536">
        <v>0</v>
      </c>
      <c r="Y45" s="537"/>
      <c r="Z45" s="537"/>
      <c r="AA45" s="537"/>
      <c r="AB45" s="537"/>
      <c r="AC45" s="538"/>
      <c r="AD45" s="956"/>
      <c r="AE45" s="409">
        <f>SUM(E45:AC45)</f>
        <v>1.5</v>
      </c>
      <c r="AF45" s="418"/>
      <c r="AG45" s="337"/>
    </row>
    <row r="46" spans="1:33" s="4" customFormat="1" ht="17.25" customHeight="1">
      <c r="A46" s="601"/>
      <c r="B46" s="602"/>
      <c r="C46" s="544"/>
      <c r="D46" s="378" t="s">
        <v>11</v>
      </c>
      <c r="E46" s="603">
        <v>5</v>
      </c>
      <c r="F46" s="604"/>
      <c r="G46" s="604"/>
      <c r="H46" s="604"/>
      <c r="I46" s="604"/>
      <c r="J46" s="605"/>
      <c r="K46" s="380"/>
      <c r="L46" s="606">
        <v>0</v>
      </c>
      <c r="M46" s="607"/>
      <c r="N46" s="607"/>
      <c r="O46" s="607"/>
      <c r="P46" s="608"/>
      <c r="Q46" s="382"/>
      <c r="R46" s="606">
        <v>0</v>
      </c>
      <c r="S46" s="607"/>
      <c r="T46" s="607"/>
      <c r="U46" s="607"/>
      <c r="V46" s="608"/>
      <c r="W46" s="948"/>
      <c r="X46" s="536">
        <v>0</v>
      </c>
      <c r="Y46" s="537"/>
      <c r="Z46" s="537"/>
      <c r="AA46" s="537"/>
      <c r="AB46" s="537"/>
      <c r="AC46" s="538"/>
      <c r="AD46" s="956"/>
      <c r="AE46" s="409">
        <f>SUM(E46:AC46)</f>
        <v>5</v>
      </c>
      <c r="AF46" s="418"/>
      <c r="AG46" s="337"/>
    </row>
    <row r="47" spans="1:33" s="4" customFormat="1" ht="17.25" customHeight="1">
      <c r="A47" s="601"/>
      <c r="B47" s="602"/>
      <c r="C47" s="543" t="s">
        <v>12</v>
      </c>
      <c r="D47" s="378" t="s">
        <v>158</v>
      </c>
      <c r="E47" s="603">
        <v>0.15</v>
      </c>
      <c r="F47" s="604"/>
      <c r="G47" s="604"/>
      <c r="H47" s="604"/>
      <c r="I47" s="604"/>
      <c r="J47" s="605"/>
      <c r="K47" s="939"/>
      <c r="L47" s="594">
        <v>0.15</v>
      </c>
      <c r="M47" s="595"/>
      <c r="N47" s="595"/>
      <c r="O47" s="595"/>
      <c r="P47" s="595"/>
      <c r="Q47" s="947"/>
      <c r="R47" s="536">
        <v>0.15</v>
      </c>
      <c r="S47" s="537"/>
      <c r="T47" s="537"/>
      <c r="U47" s="537"/>
      <c r="V47" s="538"/>
      <c r="W47" s="953"/>
      <c r="X47" s="603">
        <v>0.15</v>
      </c>
      <c r="Y47" s="604"/>
      <c r="Z47" s="604"/>
      <c r="AA47" s="604"/>
      <c r="AB47" s="604"/>
      <c r="AC47" s="605"/>
      <c r="AD47" s="957"/>
      <c r="AE47" s="409">
        <f>SUM(E47:AC47)</f>
        <v>0.6</v>
      </c>
      <c r="AF47" s="418"/>
      <c r="AG47" s="337"/>
    </row>
    <row r="48" spans="1:33" s="4" customFormat="1" ht="17.25" customHeight="1">
      <c r="A48" s="542"/>
      <c r="B48" s="544"/>
      <c r="C48" s="544"/>
      <c r="D48" s="378" t="s">
        <v>11</v>
      </c>
      <c r="E48" s="603">
        <v>7.3</v>
      </c>
      <c r="F48" s="604"/>
      <c r="G48" s="604"/>
      <c r="H48" s="604"/>
      <c r="I48" s="604"/>
      <c r="J48" s="605"/>
      <c r="K48" s="939"/>
      <c r="L48" s="594">
        <v>7.3</v>
      </c>
      <c r="M48" s="595"/>
      <c r="N48" s="595"/>
      <c r="O48" s="595"/>
      <c r="P48" s="595"/>
      <c r="Q48" s="947"/>
      <c r="R48" s="536">
        <v>7.3</v>
      </c>
      <c r="S48" s="537"/>
      <c r="T48" s="537"/>
      <c r="U48" s="537"/>
      <c r="V48" s="538"/>
      <c r="W48" s="953"/>
      <c r="X48" s="603">
        <v>7.3</v>
      </c>
      <c r="Y48" s="604"/>
      <c r="Z48" s="604"/>
      <c r="AA48" s="604"/>
      <c r="AB48" s="604"/>
      <c r="AC48" s="605"/>
      <c r="AD48" s="957"/>
      <c r="AE48" s="409">
        <f>SUM(E48:AC48)</f>
        <v>29.2</v>
      </c>
      <c r="AF48" s="418"/>
      <c r="AG48" s="337"/>
    </row>
    <row r="49" spans="1:33" s="4" customFormat="1" ht="17.25" customHeight="1">
      <c r="A49" s="541">
        <v>8</v>
      </c>
      <c r="B49" s="543" t="s">
        <v>837</v>
      </c>
      <c r="C49" s="543" t="s">
        <v>7</v>
      </c>
      <c r="D49" s="378" t="s">
        <v>8</v>
      </c>
      <c r="E49" s="599">
        <v>0</v>
      </c>
      <c r="F49" s="550"/>
      <c r="G49" s="550"/>
      <c r="H49" s="550"/>
      <c r="I49" s="550"/>
      <c r="J49" s="600"/>
      <c r="K49" s="940"/>
      <c r="L49" s="606">
        <v>0</v>
      </c>
      <c r="M49" s="607"/>
      <c r="N49" s="607"/>
      <c r="O49" s="607"/>
      <c r="P49" s="608"/>
      <c r="Q49" s="948"/>
      <c r="R49" s="536">
        <v>0</v>
      </c>
      <c r="S49" s="537"/>
      <c r="T49" s="537"/>
      <c r="U49" s="537"/>
      <c r="V49" s="538"/>
      <c r="W49" s="384"/>
      <c r="X49" s="536">
        <v>0</v>
      </c>
      <c r="Y49" s="537"/>
      <c r="Z49" s="537"/>
      <c r="AA49" s="537"/>
      <c r="AB49" s="537"/>
      <c r="AC49" s="538"/>
      <c r="AD49" s="956"/>
      <c r="AE49" s="409">
        <f>SUM(E49:AC49)</f>
        <v>0</v>
      </c>
      <c r="AF49" s="48">
        <v>0.71</v>
      </c>
      <c r="AG49" s="337"/>
    </row>
    <row r="50" spans="1:33" s="4" customFormat="1" ht="17.25" customHeight="1">
      <c r="A50" s="601"/>
      <c r="B50" s="602"/>
      <c r="C50" s="544"/>
      <c r="D50" s="378" t="s">
        <v>11</v>
      </c>
      <c r="E50" s="599">
        <v>0</v>
      </c>
      <c r="F50" s="550"/>
      <c r="G50" s="550"/>
      <c r="H50" s="550"/>
      <c r="I50" s="550"/>
      <c r="J50" s="600"/>
      <c r="K50" s="940"/>
      <c r="L50" s="606">
        <v>0</v>
      </c>
      <c r="M50" s="607"/>
      <c r="N50" s="607"/>
      <c r="O50" s="607"/>
      <c r="P50" s="608"/>
      <c r="Q50" s="948"/>
      <c r="R50" s="536">
        <v>0</v>
      </c>
      <c r="S50" s="537"/>
      <c r="T50" s="537"/>
      <c r="U50" s="537"/>
      <c r="V50" s="538"/>
      <c r="W50" s="384"/>
      <c r="X50" s="536">
        <v>0</v>
      </c>
      <c r="Y50" s="537"/>
      <c r="Z50" s="537"/>
      <c r="AA50" s="537"/>
      <c r="AB50" s="537"/>
      <c r="AC50" s="538"/>
      <c r="AD50" s="956"/>
      <c r="AE50" s="409">
        <f>SUM(E50:AC50)</f>
        <v>0</v>
      </c>
      <c r="AF50" s="48">
        <v>0</v>
      </c>
      <c r="AG50" s="337"/>
    </row>
    <row r="51" spans="1:33" s="4" customFormat="1" ht="17.25" customHeight="1">
      <c r="A51" s="601"/>
      <c r="B51" s="602"/>
      <c r="C51" s="543" t="s">
        <v>12</v>
      </c>
      <c r="D51" s="378" t="s">
        <v>158</v>
      </c>
      <c r="E51" s="599">
        <v>3.2599999999999997E-2</v>
      </c>
      <c r="F51" s="550"/>
      <c r="G51" s="550"/>
      <c r="H51" s="550"/>
      <c r="I51" s="550"/>
      <c r="J51" s="600"/>
      <c r="K51" s="387"/>
      <c r="L51" s="594">
        <v>3.2599999999999997E-2</v>
      </c>
      <c r="M51" s="595"/>
      <c r="N51" s="595"/>
      <c r="O51" s="595"/>
      <c r="P51" s="595"/>
      <c r="Q51" s="947"/>
      <c r="R51" s="536">
        <v>3.2599999999999997E-2</v>
      </c>
      <c r="S51" s="537"/>
      <c r="T51" s="537"/>
      <c r="U51" s="537"/>
      <c r="V51" s="538"/>
      <c r="W51" s="954"/>
      <c r="X51" s="599">
        <v>3.2599999999999997E-2</v>
      </c>
      <c r="Y51" s="550"/>
      <c r="Z51" s="550"/>
      <c r="AA51" s="550"/>
      <c r="AB51" s="550"/>
      <c r="AC51" s="600"/>
      <c r="AD51" s="958"/>
      <c r="AE51" s="409">
        <f>SUM(E51:AC51)</f>
        <v>0.13039999999999999</v>
      </c>
      <c r="AF51" s="48">
        <v>6.5000000000000002E-2</v>
      </c>
      <c r="AG51" s="337"/>
    </row>
    <row r="52" spans="1:33" s="4" customFormat="1" ht="17.25" customHeight="1">
      <c r="A52" s="542"/>
      <c r="B52" s="544"/>
      <c r="C52" s="544"/>
      <c r="D52" s="378" t="s">
        <v>11</v>
      </c>
      <c r="E52" s="599">
        <v>1.9750000000000001</v>
      </c>
      <c r="F52" s="550"/>
      <c r="G52" s="550"/>
      <c r="H52" s="550"/>
      <c r="I52" s="550"/>
      <c r="J52" s="600"/>
      <c r="K52" s="387"/>
      <c r="L52" s="594">
        <v>1.9750000000000001</v>
      </c>
      <c r="M52" s="595"/>
      <c r="N52" s="595"/>
      <c r="O52" s="595"/>
      <c r="P52" s="595"/>
      <c r="Q52" s="947"/>
      <c r="R52" s="536">
        <v>1.9750000000000001</v>
      </c>
      <c r="S52" s="537"/>
      <c r="T52" s="537"/>
      <c r="U52" s="537"/>
      <c r="V52" s="538"/>
      <c r="W52" s="954"/>
      <c r="X52" s="599">
        <v>1.9750000000000001</v>
      </c>
      <c r="Y52" s="550"/>
      <c r="Z52" s="550"/>
      <c r="AA52" s="550"/>
      <c r="AB52" s="550"/>
      <c r="AC52" s="600"/>
      <c r="AD52" s="958"/>
      <c r="AE52" s="409">
        <f>SUM(E52:AC52)</f>
        <v>7.9</v>
      </c>
      <c r="AF52" s="418"/>
      <c r="AG52" s="337"/>
    </row>
    <row r="53" spans="1:33" s="4" customFormat="1" ht="17.25" customHeight="1">
      <c r="A53" s="541">
        <v>9</v>
      </c>
      <c r="B53" s="543" t="s">
        <v>838</v>
      </c>
      <c r="C53" s="543" t="s">
        <v>7</v>
      </c>
      <c r="D53" s="378" t="s">
        <v>8</v>
      </c>
      <c r="E53" s="587">
        <v>2.0899999999999998E-2</v>
      </c>
      <c r="F53" s="588"/>
      <c r="G53" s="588"/>
      <c r="H53" s="588"/>
      <c r="I53" s="588"/>
      <c r="J53" s="589"/>
      <c r="K53" s="932"/>
      <c r="L53" s="536">
        <v>2.0899999999999998E-2</v>
      </c>
      <c r="M53" s="537"/>
      <c r="N53" s="537"/>
      <c r="O53" s="537"/>
      <c r="P53" s="538"/>
      <c r="Q53" s="384"/>
      <c r="R53" s="536">
        <v>2.0899999999999998E-2</v>
      </c>
      <c r="S53" s="537"/>
      <c r="T53" s="537"/>
      <c r="U53" s="537"/>
      <c r="V53" s="538"/>
      <c r="W53" s="954"/>
      <c r="X53" s="587">
        <v>2.0899999999999998E-2</v>
      </c>
      <c r="Y53" s="588"/>
      <c r="Z53" s="588"/>
      <c r="AA53" s="588"/>
      <c r="AB53" s="588"/>
      <c r="AC53" s="589"/>
      <c r="AD53" s="932"/>
      <c r="AE53" s="409">
        <f>SUM(E53:AC53)</f>
        <v>8.3599999999999994E-2</v>
      </c>
      <c r="AF53" s="418"/>
      <c r="AG53" s="337"/>
    </row>
    <row r="54" spans="1:33" s="4" customFormat="1" ht="17.25" customHeight="1">
      <c r="A54" s="601"/>
      <c r="B54" s="602"/>
      <c r="C54" s="544"/>
      <c r="D54" s="378" t="s">
        <v>11</v>
      </c>
      <c r="E54" s="587">
        <v>0.105</v>
      </c>
      <c r="F54" s="588"/>
      <c r="G54" s="588"/>
      <c r="H54" s="588"/>
      <c r="I54" s="588"/>
      <c r="J54" s="589"/>
      <c r="K54" s="932"/>
      <c r="L54" s="536">
        <v>0.105</v>
      </c>
      <c r="M54" s="537"/>
      <c r="N54" s="537"/>
      <c r="O54" s="537"/>
      <c r="P54" s="538"/>
      <c r="Q54" s="384"/>
      <c r="R54" s="536">
        <v>0.105</v>
      </c>
      <c r="S54" s="537"/>
      <c r="T54" s="537"/>
      <c r="U54" s="537"/>
      <c r="V54" s="538"/>
      <c r="W54" s="954"/>
      <c r="X54" s="587">
        <v>0.105</v>
      </c>
      <c r="Y54" s="588"/>
      <c r="Z54" s="588"/>
      <c r="AA54" s="588"/>
      <c r="AB54" s="588"/>
      <c r="AC54" s="589"/>
      <c r="AD54" s="932"/>
      <c r="AE54" s="409">
        <f>SUM(E54:AC54)</f>
        <v>0.42</v>
      </c>
      <c r="AF54" s="418"/>
      <c r="AG54" s="337"/>
    </row>
    <row r="55" spans="1:33" s="4" customFormat="1" ht="17.25" customHeight="1">
      <c r="A55" s="601"/>
      <c r="B55" s="602"/>
      <c r="C55" s="543" t="s">
        <v>12</v>
      </c>
      <c r="D55" s="378" t="s">
        <v>158</v>
      </c>
      <c r="E55" s="587">
        <v>0.13</v>
      </c>
      <c r="F55" s="588"/>
      <c r="G55" s="588"/>
      <c r="H55" s="588"/>
      <c r="I55" s="588"/>
      <c r="J55" s="589"/>
      <c r="K55" s="389"/>
      <c r="L55" s="594">
        <v>0.13</v>
      </c>
      <c r="M55" s="595"/>
      <c r="N55" s="595"/>
      <c r="O55" s="595"/>
      <c r="P55" s="595"/>
      <c r="Q55" s="947"/>
      <c r="R55" s="536">
        <v>0.13</v>
      </c>
      <c r="S55" s="537"/>
      <c r="T55" s="537"/>
      <c r="U55" s="537"/>
      <c r="V55" s="538"/>
      <c r="W55" s="384"/>
      <c r="X55" s="596">
        <v>0.13</v>
      </c>
      <c r="Y55" s="597"/>
      <c r="Z55" s="597"/>
      <c r="AA55" s="597"/>
      <c r="AB55" s="597"/>
      <c r="AC55" s="598"/>
      <c r="AD55" s="959"/>
      <c r="AE55" s="409">
        <f>SUM(E55:AC55)</f>
        <v>0.52</v>
      </c>
      <c r="AF55" s="418"/>
      <c r="AG55" s="337"/>
    </row>
    <row r="56" spans="1:33" s="4" customFormat="1" ht="17.25" customHeight="1">
      <c r="A56" s="542"/>
      <c r="B56" s="544"/>
      <c r="C56" s="544"/>
      <c r="D56" s="378" t="s">
        <v>11</v>
      </c>
      <c r="E56" s="587">
        <v>8.1000000000000003E-2</v>
      </c>
      <c r="F56" s="588"/>
      <c r="G56" s="588"/>
      <c r="H56" s="588"/>
      <c r="I56" s="588"/>
      <c r="J56" s="589"/>
      <c r="K56" s="389"/>
      <c r="L56" s="594">
        <v>8.1000000000000003E-2</v>
      </c>
      <c r="M56" s="595"/>
      <c r="N56" s="595"/>
      <c r="O56" s="595"/>
      <c r="P56" s="595"/>
      <c r="Q56" s="947"/>
      <c r="R56" s="536">
        <v>8.1000000000000003E-2</v>
      </c>
      <c r="S56" s="537"/>
      <c r="T56" s="537"/>
      <c r="U56" s="537"/>
      <c r="V56" s="538"/>
      <c r="W56" s="954"/>
      <c r="X56" s="587">
        <v>8.1000000000000003E-2</v>
      </c>
      <c r="Y56" s="588"/>
      <c r="Z56" s="588"/>
      <c r="AA56" s="588"/>
      <c r="AB56" s="588"/>
      <c r="AC56" s="589"/>
      <c r="AD56" s="932"/>
      <c r="AE56" s="409">
        <f>SUM(E56:AC56)</f>
        <v>0.32400000000000001</v>
      </c>
      <c r="AF56" s="418"/>
      <c r="AG56" s="337"/>
    </row>
    <row r="57" spans="1:33" s="4" customFormat="1" ht="17.25" customHeight="1">
      <c r="A57" s="541">
        <v>9</v>
      </c>
      <c r="B57" s="543" t="s">
        <v>853</v>
      </c>
      <c r="C57" s="543" t="s">
        <v>7</v>
      </c>
      <c r="D57" s="378" t="s">
        <v>8</v>
      </c>
      <c r="E57" s="587">
        <v>1</v>
      </c>
      <c r="F57" s="588"/>
      <c r="G57" s="588"/>
      <c r="H57" s="588"/>
      <c r="I57" s="588"/>
      <c r="J57" s="589"/>
      <c r="K57" s="932"/>
      <c r="L57" s="536">
        <v>1</v>
      </c>
      <c r="M57" s="537"/>
      <c r="N57" s="537"/>
      <c r="O57" s="537"/>
      <c r="P57" s="538"/>
      <c r="Q57" s="384"/>
      <c r="R57" s="536">
        <v>1</v>
      </c>
      <c r="S57" s="537"/>
      <c r="T57" s="537"/>
      <c r="U57" s="537"/>
      <c r="V57" s="538"/>
      <c r="W57" s="954"/>
      <c r="X57" s="587">
        <v>1</v>
      </c>
      <c r="Y57" s="588"/>
      <c r="Z57" s="588"/>
      <c r="AA57" s="588"/>
      <c r="AB57" s="588"/>
      <c r="AC57" s="589"/>
      <c r="AD57" s="932"/>
      <c r="AE57" s="409">
        <f>SUM(E57:AC57)</f>
        <v>4</v>
      </c>
      <c r="AF57" s="418"/>
      <c r="AG57" s="337"/>
    </row>
    <row r="58" spans="1:33" s="4" customFormat="1" ht="17.25" customHeight="1">
      <c r="A58" s="601"/>
      <c r="B58" s="602"/>
      <c r="C58" s="544"/>
      <c r="D58" s="378" t="s">
        <v>11</v>
      </c>
      <c r="E58" s="587">
        <v>0</v>
      </c>
      <c r="F58" s="588"/>
      <c r="G58" s="588"/>
      <c r="H58" s="588"/>
      <c r="I58" s="588"/>
      <c r="J58" s="589"/>
      <c r="K58" s="932"/>
      <c r="L58" s="536">
        <v>0</v>
      </c>
      <c r="M58" s="537"/>
      <c r="N58" s="537"/>
      <c r="O58" s="537"/>
      <c r="P58" s="538"/>
      <c r="Q58" s="384"/>
      <c r="R58" s="536">
        <v>0</v>
      </c>
      <c r="S58" s="537"/>
      <c r="T58" s="537"/>
      <c r="U58" s="537"/>
      <c r="V58" s="538"/>
      <c r="W58" s="954"/>
      <c r="X58" s="587">
        <v>0</v>
      </c>
      <c r="Y58" s="588"/>
      <c r="Z58" s="588"/>
      <c r="AA58" s="588"/>
      <c r="AB58" s="588"/>
      <c r="AC58" s="589"/>
      <c r="AD58" s="932"/>
      <c r="AE58" s="409">
        <f>SUM(E58:AC58)</f>
        <v>0</v>
      </c>
      <c r="AF58" s="418"/>
      <c r="AG58" s="337"/>
    </row>
    <row r="59" spans="1:33" s="4" customFormat="1" ht="17.25" customHeight="1">
      <c r="A59" s="601"/>
      <c r="B59" s="602"/>
      <c r="C59" s="543" t="s">
        <v>12</v>
      </c>
      <c r="D59" s="378" t="s">
        <v>158</v>
      </c>
      <c r="E59" s="587">
        <v>1</v>
      </c>
      <c r="F59" s="588"/>
      <c r="G59" s="588"/>
      <c r="H59" s="588"/>
      <c r="I59" s="588"/>
      <c r="J59" s="589"/>
      <c r="K59" s="389"/>
      <c r="L59" s="594">
        <v>1</v>
      </c>
      <c r="M59" s="595"/>
      <c r="N59" s="595"/>
      <c r="O59" s="595"/>
      <c r="P59" s="595"/>
      <c r="Q59" s="947"/>
      <c r="R59" s="536">
        <v>1</v>
      </c>
      <c r="S59" s="537"/>
      <c r="T59" s="537"/>
      <c r="U59" s="537"/>
      <c r="V59" s="538"/>
      <c r="W59" s="384"/>
      <c r="X59" s="596">
        <v>1</v>
      </c>
      <c r="Y59" s="597"/>
      <c r="Z59" s="597"/>
      <c r="AA59" s="597"/>
      <c r="AB59" s="597"/>
      <c r="AC59" s="598"/>
      <c r="AD59" s="959"/>
      <c r="AE59" s="409">
        <f>SUM(E59:AC59)</f>
        <v>4</v>
      </c>
      <c r="AF59" s="418"/>
      <c r="AG59" s="337"/>
    </row>
    <row r="60" spans="1:33" s="4" customFormat="1" ht="17.25" customHeight="1">
      <c r="A60" s="542"/>
      <c r="B60" s="544"/>
      <c r="C60" s="544"/>
      <c r="D60" s="378" t="s">
        <v>11</v>
      </c>
      <c r="E60" s="587">
        <v>0</v>
      </c>
      <c r="F60" s="588"/>
      <c r="G60" s="588"/>
      <c r="H60" s="588"/>
      <c r="I60" s="588"/>
      <c r="J60" s="589"/>
      <c r="K60" s="389"/>
      <c r="L60" s="594">
        <v>0</v>
      </c>
      <c r="M60" s="595"/>
      <c r="N60" s="595"/>
      <c r="O60" s="595"/>
      <c r="P60" s="595"/>
      <c r="Q60" s="947"/>
      <c r="R60" s="536">
        <v>0</v>
      </c>
      <c r="S60" s="537"/>
      <c r="T60" s="537"/>
      <c r="U60" s="537"/>
      <c r="V60" s="538"/>
      <c r="W60" s="954"/>
      <c r="X60" s="587">
        <v>0</v>
      </c>
      <c r="Y60" s="588"/>
      <c r="Z60" s="588"/>
      <c r="AA60" s="588"/>
      <c r="AB60" s="588"/>
      <c r="AC60" s="589"/>
      <c r="AD60" s="932"/>
      <c r="AE60" s="409">
        <f>SUM(E60:AC60)</f>
        <v>0</v>
      </c>
      <c r="AF60" s="418"/>
      <c r="AG60" s="337"/>
    </row>
    <row r="61" spans="1:33" s="4" customFormat="1" ht="17.25" customHeight="1">
      <c r="A61" s="512">
        <v>10</v>
      </c>
      <c r="B61" s="527" t="s">
        <v>26</v>
      </c>
      <c r="C61" s="527" t="s">
        <v>7</v>
      </c>
      <c r="D61" s="5" t="s">
        <v>8</v>
      </c>
      <c r="E61" s="570">
        <v>5.92</v>
      </c>
      <c r="F61" s="571"/>
      <c r="G61" s="571"/>
      <c r="H61" s="571"/>
      <c r="I61" s="571"/>
      <c r="J61" s="572"/>
      <c r="K61" s="392"/>
      <c r="L61" s="591">
        <v>1.3</v>
      </c>
      <c r="M61" s="592"/>
      <c r="N61" s="592"/>
      <c r="O61" s="592"/>
      <c r="P61" s="593"/>
      <c r="Q61" s="949"/>
      <c r="R61" s="504">
        <v>0</v>
      </c>
      <c r="S61" s="505"/>
      <c r="T61" s="505"/>
      <c r="U61" s="505"/>
      <c r="V61" s="506"/>
      <c r="W61" s="375"/>
      <c r="X61" s="504">
        <v>0</v>
      </c>
      <c r="Y61" s="505"/>
      <c r="Z61" s="505"/>
      <c r="AA61" s="505"/>
      <c r="AB61" s="505"/>
      <c r="AC61" s="506"/>
      <c r="AD61" s="411"/>
      <c r="AE61" s="423">
        <f>SUM(E61:AC61)</f>
        <v>7.22</v>
      </c>
      <c r="AF61" s="325">
        <v>6.99</v>
      </c>
      <c r="AG61" s="337"/>
    </row>
    <row r="62" spans="1:33" s="4" customFormat="1" ht="17.25" customHeight="1">
      <c r="A62" s="553"/>
      <c r="B62" s="590"/>
      <c r="C62" s="529"/>
      <c r="D62" s="5" t="s">
        <v>11</v>
      </c>
      <c r="E62" s="581">
        <v>0</v>
      </c>
      <c r="F62" s="582"/>
      <c r="G62" s="582"/>
      <c r="H62" s="582"/>
      <c r="I62" s="582"/>
      <c r="J62" s="583"/>
      <c r="K62" s="941"/>
      <c r="L62" s="591">
        <v>10</v>
      </c>
      <c r="M62" s="592"/>
      <c r="N62" s="592"/>
      <c r="O62" s="592"/>
      <c r="P62" s="593"/>
      <c r="Q62" s="949"/>
      <c r="R62" s="504">
        <v>1</v>
      </c>
      <c r="S62" s="505"/>
      <c r="T62" s="505"/>
      <c r="U62" s="505"/>
      <c r="V62" s="506"/>
      <c r="W62" s="375"/>
      <c r="X62" s="504">
        <v>0</v>
      </c>
      <c r="Y62" s="505"/>
      <c r="Z62" s="505"/>
      <c r="AA62" s="505"/>
      <c r="AB62" s="505"/>
      <c r="AC62" s="506"/>
      <c r="AD62" s="411"/>
      <c r="AE62" s="423">
        <f>SUM(E62:AC62)</f>
        <v>11</v>
      </c>
      <c r="AF62" s="124">
        <v>0</v>
      </c>
      <c r="AG62" s="337"/>
    </row>
    <row r="63" spans="1:33" s="4" customFormat="1" ht="17.25" customHeight="1">
      <c r="A63" s="553"/>
      <c r="B63" s="590"/>
      <c r="C63" s="527" t="s">
        <v>12</v>
      </c>
      <c r="D63" s="5" t="s">
        <v>8</v>
      </c>
      <c r="E63" s="581">
        <v>2.19</v>
      </c>
      <c r="F63" s="582"/>
      <c r="G63" s="582"/>
      <c r="H63" s="582"/>
      <c r="I63" s="582"/>
      <c r="J63" s="583"/>
      <c r="K63" s="395"/>
      <c r="L63" s="581">
        <v>0</v>
      </c>
      <c r="M63" s="582"/>
      <c r="N63" s="582"/>
      <c r="O63" s="582"/>
      <c r="P63" s="582"/>
      <c r="Q63" s="950"/>
      <c r="R63" s="504">
        <v>0</v>
      </c>
      <c r="S63" s="505"/>
      <c r="T63" s="505"/>
      <c r="U63" s="505"/>
      <c r="V63" s="506"/>
      <c r="W63" s="375"/>
      <c r="X63" s="504">
        <v>0</v>
      </c>
      <c r="Y63" s="505"/>
      <c r="Z63" s="505"/>
      <c r="AA63" s="505"/>
      <c r="AB63" s="505"/>
      <c r="AC63" s="506"/>
      <c r="AD63" s="411"/>
      <c r="AE63" s="423">
        <f>SUM(E63:AC63)</f>
        <v>2.19</v>
      </c>
      <c r="AF63" s="324">
        <v>7.1</v>
      </c>
      <c r="AG63" s="337"/>
    </row>
    <row r="64" spans="1:33" s="4" customFormat="1" ht="17.25" customHeight="1">
      <c r="A64" s="513"/>
      <c r="B64" s="529"/>
      <c r="C64" s="529"/>
      <c r="D64" s="5" t="s">
        <v>11</v>
      </c>
      <c r="E64" s="584">
        <v>1.1000000000000001</v>
      </c>
      <c r="F64" s="585"/>
      <c r="G64" s="585"/>
      <c r="H64" s="585"/>
      <c r="I64" s="585"/>
      <c r="J64" s="586"/>
      <c r="K64" s="942"/>
      <c r="L64" s="581">
        <v>0.23</v>
      </c>
      <c r="M64" s="582"/>
      <c r="N64" s="582"/>
      <c r="O64" s="582"/>
      <c r="P64" s="582"/>
      <c r="Q64" s="950"/>
      <c r="R64" s="504">
        <v>0.74299999999999999</v>
      </c>
      <c r="S64" s="505"/>
      <c r="T64" s="505"/>
      <c r="U64" s="505"/>
      <c r="V64" s="506"/>
      <c r="W64" s="375"/>
      <c r="X64" s="504">
        <v>0</v>
      </c>
      <c r="Y64" s="505"/>
      <c r="Z64" s="505"/>
      <c r="AA64" s="505"/>
      <c r="AB64" s="505"/>
      <c r="AC64" s="506"/>
      <c r="AD64" s="411"/>
      <c r="AE64" s="423">
        <f>SUM(E64:AC64)</f>
        <v>2.073</v>
      </c>
      <c r="AF64" s="124">
        <v>0</v>
      </c>
      <c r="AG64" s="337"/>
    </row>
    <row r="65" spans="1:33" s="4" customFormat="1" ht="17.25" customHeight="1">
      <c r="A65" s="485">
        <v>11</v>
      </c>
      <c r="B65" s="483" t="s">
        <v>28</v>
      </c>
      <c r="C65" s="483" t="s">
        <v>138</v>
      </c>
      <c r="D65" s="10" t="s">
        <v>108</v>
      </c>
      <c r="E65" s="570">
        <v>188</v>
      </c>
      <c r="F65" s="571"/>
      <c r="G65" s="571"/>
      <c r="H65" s="571"/>
      <c r="I65" s="571"/>
      <c r="J65" s="572"/>
      <c r="K65" s="941"/>
      <c r="L65" s="573">
        <v>188</v>
      </c>
      <c r="M65" s="574"/>
      <c r="N65" s="574"/>
      <c r="O65" s="574"/>
      <c r="P65" s="575"/>
      <c r="Q65" s="938"/>
      <c r="R65" s="576">
        <v>0</v>
      </c>
      <c r="S65" s="568"/>
      <c r="T65" s="568"/>
      <c r="U65" s="568"/>
      <c r="V65" s="577"/>
      <c r="W65" s="399"/>
      <c r="X65" s="504">
        <v>0</v>
      </c>
      <c r="Y65" s="505"/>
      <c r="Z65" s="505"/>
      <c r="AA65" s="505"/>
      <c r="AB65" s="505"/>
      <c r="AC65" s="506"/>
      <c r="AD65" s="411"/>
      <c r="AE65" s="423">
        <f>SUM(E65:AC65)</f>
        <v>376</v>
      </c>
      <c r="AF65" s="418"/>
      <c r="AG65" s="337"/>
    </row>
    <row r="66" spans="1:33" s="4" customFormat="1" ht="17.25" customHeight="1">
      <c r="A66" s="485"/>
      <c r="B66" s="483"/>
      <c r="C66" s="483"/>
      <c r="D66" s="10" t="s">
        <v>109</v>
      </c>
      <c r="E66" s="570">
        <v>7.3</v>
      </c>
      <c r="F66" s="571"/>
      <c r="G66" s="571"/>
      <c r="H66" s="571"/>
      <c r="I66" s="571"/>
      <c r="J66" s="572"/>
      <c r="K66" s="941"/>
      <c r="L66" s="573">
        <v>7.3</v>
      </c>
      <c r="M66" s="574"/>
      <c r="N66" s="574"/>
      <c r="O66" s="574"/>
      <c r="P66" s="575"/>
      <c r="Q66" s="938"/>
      <c r="R66" s="576">
        <v>0</v>
      </c>
      <c r="S66" s="568"/>
      <c r="T66" s="568"/>
      <c r="U66" s="568"/>
      <c r="V66" s="577"/>
      <c r="W66" s="399"/>
      <c r="X66" s="504">
        <v>0</v>
      </c>
      <c r="Y66" s="505"/>
      <c r="Z66" s="505"/>
      <c r="AA66" s="505"/>
      <c r="AB66" s="505"/>
      <c r="AC66" s="506"/>
      <c r="AD66" s="411"/>
      <c r="AE66" s="423">
        <f>SUM(E66:AC66)</f>
        <v>14.6</v>
      </c>
      <c r="AF66" s="418"/>
      <c r="AG66" s="337"/>
    </row>
    <row r="67" spans="1:33" s="4" customFormat="1" ht="17.25" customHeight="1">
      <c r="A67" s="485"/>
      <c r="B67" s="483"/>
      <c r="C67" s="483"/>
      <c r="D67" s="10" t="s">
        <v>110</v>
      </c>
      <c r="E67" s="570">
        <v>5</v>
      </c>
      <c r="F67" s="571"/>
      <c r="G67" s="571"/>
      <c r="H67" s="571"/>
      <c r="I67" s="571"/>
      <c r="J67" s="572"/>
      <c r="K67" s="941"/>
      <c r="L67" s="573">
        <v>5</v>
      </c>
      <c r="M67" s="574"/>
      <c r="N67" s="574"/>
      <c r="O67" s="574"/>
      <c r="P67" s="575"/>
      <c r="Q67" s="938"/>
      <c r="R67" s="576">
        <v>0</v>
      </c>
      <c r="S67" s="568"/>
      <c r="T67" s="568"/>
      <c r="U67" s="568"/>
      <c r="V67" s="577"/>
      <c r="W67" s="399"/>
      <c r="X67" s="504">
        <v>0</v>
      </c>
      <c r="Y67" s="505"/>
      <c r="Z67" s="505"/>
      <c r="AA67" s="505"/>
      <c r="AB67" s="505"/>
      <c r="AC67" s="506"/>
      <c r="AD67" s="411"/>
      <c r="AE67" s="423">
        <f>SUM(E67:AC67)</f>
        <v>10</v>
      </c>
      <c r="AF67" s="418"/>
      <c r="AG67" s="337"/>
    </row>
    <row r="68" spans="1:33" s="4" customFormat="1" ht="17.25" customHeight="1">
      <c r="A68" s="485"/>
      <c r="B68" s="483"/>
      <c r="C68" s="483"/>
      <c r="D68" s="10" t="s">
        <v>111</v>
      </c>
      <c r="E68" s="570">
        <v>11.6</v>
      </c>
      <c r="F68" s="571"/>
      <c r="G68" s="571"/>
      <c r="H68" s="571"/>
      <c r="I68" s="571"/>
      <c r="J68" s="572"/>
      <c r="K68" s="941"/>
      <c r="L68" s="573">
        <v>11.6</v>
      </c>
      <c r="M68" s="574"/>
      <c r="N68" s="574"/>
      <c r="O68" s="574"/>
      <c r="P68" s="575"/>
      <c r="Q68" s="938"/>
      <c r="R68" s="576">
        <v>0</v>
      </c>
      <c r="S68" s="568"/>
      <c r="T68" s="568"/>
      <c r="U68" s="568"/>
      <c r="V68" s="577"/>
      <c r="W68" s="399"/>
      <c r="X68" s="504">
        <v>0</v>
      </c>
      <c r="Y68" s="505"/>
      <c r="Z68" s="505"/>
      <c r="AA68" s="505"/>
      <c r="AB68" s="505"/>
      <c r="AC68" s="506"/>
      <c r="AD68" s="411"/>
      <c r="AE68" s="423">
        <f>SUM(E68:AC68)</f>
        <v>23.2</v>
      </c>
      <c r="AF68" s="418"/>
      <c r="AG68" s="337"/>
    </row>
    <row r="69" spans="1:33" s="308" customFormat="1" ht="17.25" customHeight="1">
      <c r="A69" s="485"/>
      <c r="B69" s="483"/>
      <c r="C69" s="483"/>
      <c r="D69" s="10" t="s">
        <v>112</v>
      </c>
      <c r="E69" s="570">
        <v>5</v>
      </c>
      <c r="F69" s="571"/>
      <c r="G69" s="571"/>
      <c r="H69" s="571"/>
      <c r="I69" s="571"/>
      <c r="J69" s="572"/>
      <c r="K69" s="941"/>
      <c r="L69" s="573">
        <v>5</v>
      </c>
      <c r="M69" s="574"/>
      <c r="N69" s="574"/>
      <c r="O69" s="574"/>
      <c r="P69" s="575"/>
      <c r="Q69" s="938"/>
      <c r="R69" s="576">
        <v>0</v>
      </c>
      <c r="S69" s="568"/>
      <c r="T69" s="568"/>
      <c r="U69" s="568"/>
      <c r="V69" s="577"/>
      <c r="W69" s="399"/>
      <c r="X69" s="525">
        <v>0</v>
      </c>
      <c r="Y69" s="523"/>
      <c r="Z69" s="523"/>
      <c r="AA69" s="523"/>
      <c r="AB69" s="523"/>
      <c r="AC69" s="523"/>
      <c r="AD69" s="943"/>
      <c r="AE69" s="423">
        <f>SUM(E69:AC69)</f>
        <v>10</v>
      </c>
      <c r="AF69" s="418"/>
      <c r="AG69" s="426"/>
    </row>
    <row r="70" spans="1:33" s="308" customFormat="1" ht="17.25" customHeight="1">
      <c r="A70" s="485"/>
      <c r="B70" s="483"/>
      <c r="C70" s="483"/>
      <c r="D70" s="10" t="s">
        <v>113</v>
      </c>
      <c r="E70" s="570">
        <v>0</v>
      </c>
      <c r="F70" s="571"/>
      <c r="G70" s="571"/>
      <c r="H70" s="571"/>
      <c r="I70" s="571"/>
      <c r="J70" s="572"/>
      <c r="K70" s="941"/>
      <c r="L70" s="573">
        <v>4.4000000000000004</v>
      </c>
      <c r="M70" s="574"/>
      <c r="N70" s="574"/>
      <c r="O70" s="574"/>
      <c r="P70" s="575"/>
      <c r="Q70" s="938"/>
      <c r="R70" s="576">
        <v>0</v>
      </c>
      <c r="S70" s="568"/>
      <c r="T70" s="568"/>
      <c r="U70" s="568"/>
      <c r="V70" s="577"/>
      <c r="W70" s="399"/>
      <c r="X70" s="525">
        <v>0</v>
      </c>
      <c r="Y70" s="523"/>
      <c r="Z70" s="523"/>
      <c r="AA70" s="523"/>
      <c r="AB70" s="523"/>
      <c r="AC70" s="523"/>
      <c r="AD70" s="943"/>
      <c r="AE70" s="423">
        <f>SUM(E70:AC70)</f>
        <v>4.4000000000000004</v>
      </c>
      <c r="AF70" s="418"/>
      <c r="AG70" s="426"/>
    </row>
    <row r="71" spans="1:33" s="308" customFormat="1" ht="29.25" customHeight="1">
      <c r="A71" s="485"/>
      <c r="B71" s="483"/>
      <c r="C71" s="483"/>
      <c r="D71" s="10" t="s">
        <v>114</v>
      </c>
      <c r="E71" s="570">
        <v>65</v>
      </c>
      <c r="F71" s="571"/>
      <c r="G71" s="571"/>
      <c r="H71" s="571"/>
      <c r="I71" s="571"/>
      <c r="J71" s="572"/>
      <c r="K71" s="941"/>
      <c r="L71" s="573">
        <v>65</v>
      </c>
      <c r="M71" s="574"/>
      <c r="N71" s="574"/>
      <c r="O71" s="574"/>
      <c r="P71" s="575"/>
      <c r="Q71" s="938"/>
      <c r="R71" s="576">
        <v>0</v>
      </c>
      <c r="S71" s="568"/>
      <c r="T71" s="568"/>
      <c r="U71" s="568"/>
      <c r="V71" s="577"/>
      <c r="W71" s="399"/>
      <c r="X71" s="525">
        <v>0</v>
      </c>
      <c r="Y71" s="523"/>
      <c r="Z71" s="523"/>
      <c r="AA71" s="523"/>
      <c r="AB71" s="523"/>
      <c r="AC71" s="523"/>
      <c r="AD71" s="943"/>
      <c r="AE71" s="423">
        <f>SUM(E71:AC71)</f>
        <v>130</v>
      </c>
      <c r="AF71" s="418"/>
      <c r="AG71" s="426"/>
    </row>
    <row r="72" spans="1:33" s="308" customFormat="1" ht="17.25" customHeight="1">
      <c r="A72" s="485"/>
      <c r="B72" s="483"/>
      <c r="C72" s="483"/>
      <c r="D72" s="10" t="s">
        <v>115</v>
      </c>
      <c r="E72" s="570">
        <v>0.8</v>
      </c>
      <c r="F72" s="571"/>
      <c r="G72" s="571"/>
      <c r="H72" s="571"/>
      <c r="I72" s="571"/>
      <c r="J72" s="572"/>
      <c r="K72" s="941"/>
      <c r="L72" s="573"/>
      <c r="M72" s="574"/>
      <c r="N72" s="574"/>
      <c r="O72" s="574"/>
      <c r="P72" s="575"/>
      <c r="Q72" s="938"/>
      <c r="R72" s="576">
        <v>0</v>
      </c>
      <c r="S72" s="568"/>
      <c r="T72" s="568"/>
      <c r="U72" s="568"/>
      <c r="V72" s="577"/>
      <c r="W72" s="399"/>
      <c r="X72" s="525">
        <v>0</v>
      </c>
      <c r="Y72" s="523"/>
      <c r="Z72" s="523"/>
      <c r="AA72" s="523"/>
      <c r="AB72" s="523"/>
      <c r="AC72" s="523"/>
      <c r="AD72" s="943"/>
      <c r="AE72" s="423">
        <f>SUM(E72:AC72)</f>
        <v>0.8</v>
      </c>
      <c r="AF72" s="418"/>
      <c r="AG72" s="426"/>
    </row>
    <row r="73" spans="1:33" s="308" customFormat="1" ht="17.25" customHeight="1">
      <c r="A73" s="485"/>
      <c r="B73" s="483"/>
      <c r="C73" s="483"/>
      <c r="D73" s="10" t="s">
        <v>116</v>
      </c>
      <c r="E73" s="570">
        <v>75</v>
      </c>
      <c r="F73" s="571"/>
      <c r="G73" s="571"/>
      <c r="H73" s="571"/>
      <c r="I73" s="571"/>
      <c r="J73" s="572"/>
      <c r="K73" s="941"/>
      <c r="L73" s="573">
        <v>75</v>
      </c>
      <c r="M73" s="574"/>
      <c r="N73" s="574"/>
      <c r="O73" s="574"/>
      <c r="P73" s="575"/>
      <c r="Q73" s="938"/>
      <c r="R73" s="576">
        <v>0</v>
      </c>
      <c r="S73" s="568"/>
      <c r="T73" s="568"/>
      <c r="U73" s="568"/>
      <c r="V73" s="577"/>
      <c r="W73" s="399"/>
      <c r="X73" s="525">
        <v>0</v>
      </c>
      <c r="Y73" s="523"/>
      <c r="Z73" s="523"/>
      <c r="AA73" s="523"/>
      <c r="AB73" s="523"/>
      <c r="AC73" s="523"/>
      <c r="AD73" s="943"/>
      <c r="AE73" s="423">
        <f>SUM(E73:AC73)</f>
        <v>150</v>
      </c>
      <c r="AF73" s="418"/>
      <c r="AG73" s="426"/>
    </row>
    <row r="74" spans="1:33" s="308" customFormat="1" ht="16.5" customHeight="1">
      <c r="A74" s="485"/>
      <c r="B74" s="483"/>
      <c r="C74" s="483"/>
      <c r="D74" s="10" t="s">
        <v>117</v>
      </c>
      <c r="E74" s="570">
        <v>0</v>
      </c>
      <c r="F74" s="571"/>
      <c r="G74" s="571"/>
      <c r="H74" s="571"/>
      <c r="I74" s="571"/>
      <c r="J74" s="572"/>
      <c r="K74" s="941"/>
      <c r="L74" s="573">
        <v>48.6</v>
      </c>
      <c r="M74" s="574"/>
      <c r="N74" s="574"/>
      <c r="O74" s="574"/>
      <c r="P74" s="575"/>
      <c r="Q74" s="938"/>
      <c r="R74" s="576">
        <v>48.6</v>
      </c>
      <c r="S74" s="568"/>
      <c r="T74" s="568"/>
      <c r="U74" s="568"/>
      <c r="V74" s="577"/>
      <c r="W74" s="938"/>
      <c r="X74" s="475">
        <v>0</v>
      </c>
      <c r="Y74" s="475"/>
      <c r="Z74" s="475"/>
      <c r="AA74" s="475"/>
      <c r="AB74" s="566"/>
      <c r="AC74" s="566"/>
      <c r="AD74" s="943"/>
      <c r="AE74" s="423">
        <f>SUM(E74:AC74)</f>
        <v>97.2</v>
      </c>
      <c r="AF74" s="418"/>
      <c r="AG74" s="426"/>
    </row>
    <row r="75" spans="1:33" s="308" customFormat="1" ht="17.25" customHeight="1">
      <c r="A75" s="485"/>
      <c r="B75" s="483"/>
      <c r="C75" s="483" t="s">
        <v>127</v>
      </c>
      <c r="D75" s="10" t="s">
        <v>69</v>
      </c>
      <c r="E75" s="578">
        <v>1.75</v>
      </c>
      <c r="F75" s="579"/>
      <c r="G75" s="579"/>
      <c r="H75" s="579"/>
      <c r="I75" s="579"/>
      <c r="J75" s="580"/>
      <c r="K75" s="943"/>
      <c r="L75" s="525">
        <v>1.75</v>
      </c>
      <c r="M75" s="523"/>
      <c r="N75" s="523"/>
      <c r="O75" s="523"/>
      <c r="P75" s="524"/>
      <c r="Q75" s="399"/>
      <c r="R75" s="525">
        <v>1.75</v>
      </c>
      <c r="S75" s="523"/>
      <c r="T75" s="523"/>
      <c r="U75" s="523"/>
      <c r="V75" s="524"/>
      <c r="W75" s="951"/>
      <c r="X75" s="475">
        <v>1.75</v>
      </c>
      <c r="Y75" s="475"/>
      <c r="Z75" s="475"/>
      <c r="AA75" s="475"/>
      <c r="AB75" s="566"/>
      <c r="AC75" s="566"/>
      <c r="AD75" s="943"/>
      <c r="AE75" s="423">
        <f>SUM(E75:AC75)</f>
        <v>7</v>
      </c>
      <c r="AF75" s="418"/>
      <c r="AG75" s="426"/>
    </row>
    <row r="76" spans="1:33" s="308" customFormat="1" ht="17.25" customHeight="1">
      <c r="A76" s="485"/>
      <c r="B76" s="483"/>
      <c r="C76" s="483"/>
      <c r="D76" s="10" t="s">
        <v>104</v>
      </c>
      <c r="E76" s="563">
        <v>0</v>
      </c>
      <c r="F76" s="518"/>
      <c r="G76" s="518"/>
      <c r="H76" s="518"/>
      <c r="I76" s="518"/>
      <c r="J76" s="564"/>
      <c r="K76" s="399"/>
      <c r="L76" s="525"/>
      <c r="M76" s="523"/>
      <c r="N76" s="523"/>
      <c r="O76" s="523"/>
      <c r="P76" s="524"/>
      <c r="Q76" s="399"/>
      <c r="R76" s="525"/>
      <c r="S76" s="523"/>
      <c r="T76" s="523"/>
      <c r="U76" s="523"/>
      <c r="V76" s="524"/>
      <c r="W76" s="951"/>
      <c r="X76" s="475">
        <v>0.3</v>
      </c>
      <c r="Y76" s="475"/>
      <c r="Z76" s="475"/>
      <c r="AA76" s="475"/>
      <c r="AB76" s="566"/>
      <c r="AC76" s="566"/>
      <c r="AD76" s="943"/>
      <c r="AE76" s="423">
        <f>SUM(E76:AC76)</f>
        <v>0.3</v>
      </c>
      <c r="AF76" s="418"/>
      <c r="AG76" s="426"/>
    </row>
    <row r="77" spans="1:33" s="308" customFormat="1" ht="17.25" customHeight="1">
      <c r="A77" s="485"/>
      <c r="B77" s="483"/>
      <c r="C77" s="483"/>
      <c r="D77" s="10" t="s">
        <v>105</v>
      </c>
      <c r="E77" s="563">
        <v>0</v>
      </c>
      <c r="F77" s="518"/>
      <c r="G77" s="518"/>
      <c r="H77" s="518"/>
      <c r="I77" s="518"/>
      <c r="J77" s="564"/>
      <c r="K77" s="399"/>
      <c r="L77" s="525">
        <v>4.13</v>
      </c>
      <c r="M77" s="523"/>
      <c r="N77" s="523"/>
      <c r="O77" s="523"/>
      <c r="P77" s="524"/>
      <c r="Q77" s="399"/>
      <c r="R77" s="525">
        <v>4.13</v>
      </c>
      <c r="S77" s="523"/>
      <c r="T77" s="523"/>
      <c r="U77" s="523"/>
      <c r="V77" s="524"/>
      <c r="W77" s="951"/>
      <c r="X77" s="475">
        <v>4.13</v>
      </c>
      <c r="Y77" s="475"/>
      <c r="Z77" s="475"/>
      <c r="AA77" s="475"/>
      <c r="AB77" s="566"/>
      <c r="AC77" s="566"/>
      <c r="AD77" s="943"/>
      <c r="AE77" s="423">
        <f>SUM(E77:AC77)</f>
        <v>12.39</v>
      </c>
      <c r="AF77" s="418"/>
      <c r="AG77" s="426"/>
    </row>
    <row r="78" spans="1:33" s="308" customFormat="1" ht="34.5" customHeight="1">
      <c r="A78" s="485"/>
      <c r="B78" s="483"/>
      <c r="C78" s="483"/>
      <c r="D78" s="10" t="s">
        <v>106</v>
      </c>
      <c r="E78" s="563">
        <v>0</v>
      </c>
      <c r="F78" s="518"/>
      <c r="G78" s="518"/>
      <c r="H78" s="518"/>
      <c r="I78" s="518"/>
      <c r="J78" s="564"/>
      <c r="K78" s="399"/>
      <c r="L78" s="525">
        <v>0</v>
      </c>
      <c r="M78" s="523"/>
      <c r="N78" s="523"/>
      <c r="O78" s="523"/>
      <c r="P78" s="524"/>
      <c r="Q78" s="951"/>
      <c r="R78" s="565">
        <v>0.34200000000000003</v>
      </c>
      <c r="S78" s="565"/>
      <c r="T78" s="565"/>
      <c r="U78" s="565"/>
      <c r="V78" s="565"/>
      <c r="W78" s="402"/>
      <c r="X78" s="475">
        <v>0.34200000000000003</v>
      </c>
      <c r="Y78" s="475"/>
      <c r="Z78" s="475"/>
      <c r="AA78" s="475"/>
      <c r="AB78" s="566"/>
      <c r="AC78" s="566"/>
      <c r="AD78" s="943"/>
      <c r="AE78" s="423">
        <f>SUM(E78:AC78)</f>
        <v>0.68400000000000005</v>
      </c>
      <c r="AF78" s="418"/>
      <c r="AG78" s="426"/>
    </row>
    <row r="79" spans="1:33" s="308" customFormat="1" ht="17.25" customHeight="1">
      <c r="A79" s="485"/>
      <c r="B79" s="483"/>
      <c r="C79" s="483"/>
      <c r="D79" s="10" t="s">
        <v>107</v>
      </c>
      <c r="E79" s="567">
        <v>0</v>
      </c>
      <c r="F79" s="568"/>
      <c r="G79" s="568"/>
      <c r="H79" s="568"/>
      <c r="I79" s="568"/>
      <c r="J79" s="569"/>
      <c r="K79" s="944"/>
      <c r="L79" s="475">
        <v>0</v>
      </c>
      <c r="M79" s="475"/>
      <c r="N79" s="475"/>
      <c r="O79" s="475"/>
      <c r="P79" s="475"/>
      <c r="Q79" s="31"/>
      <c r="R79" s="475">
        <v>1.65</v>
      </c>
      <c r="S79" s="475"/>
      <c r="T79" s="475"/>
      <c r="U79" s="475"/>
      <c r="V79" s="475"/>
      <c r="W79" s="31"/>
      <c r="X79" s="475">
        <v>1.65</v>
      </c>
      <c r="Y79" s="475"/>
      <c r="Z79" s="475"/>
      <c r="AA79" s="475"/>
      <c r="AB79" s="566"/>
      <c r="AC79" s="566"/>
      <c r="AD79" s="943"/>
      <c r="AE79" s="423">
        <f>SUM(E79:AC79)</f>
        <v>3.3</v>
      </c>
      <c r="AF79" s="418"/>
      <c r="AG79" s="426"/>
    </row>
    <row r="80" spans="1:33" s="308" customFormat="1" ht="26.25" customHeight="1">
      <c r="A80" s="562">
        <v>12</v>
      </c>
      <c r="B80" s="557" t="s">
        <v>756</v>
      </c>
      <c r="C80" s="557" t="s">
        <v>138</v>
      </c>
      <c r="D80" s="403" t="s">
        <v>707</v>
      </c>
      <c r="E80" s="484">
        <v>50.19</v>
      </c>
      <c r="F80" s="484"/>
      <c r="G80" s="484"/>
      <c r="H80" s="484"/>
      <c r="I80" s="484"/>
      <c r="J80" s="484"/>
      <c r="K80" s="350"/>
      <c r="L80" s="484">
        <v>0</v>
      </c>
      <c r="M80" s="484"/>
      <c r="N80" s="484"/>
      <c r="O80" s="484"/>
      <c r="P80" s="484"/>
      <c r="Q80" s="350"/>
      <c r="R80" s="484">
        <v>0</v>
      </c>
      <c r="S80" s="484"/>
      <c r="T80" s="484"/>
      <c r="U80" s="484"/>
      <c r="V80" s="484"/>
      <c r="W80" s="404"/>
      <c r="X80" s="560">
        <v>0</v>
      </c>
      <c r="Y80" s="561"/>
      <c r="Z80" s="561"/>
      <c r="AA80" s="561"/>
      <c r="AB80" s="561"/>
      <c r="AC80" s="561"/>
      <c r="AD80" s="932"/>
      <c r="AE80" s="409">
        <f>SUM(E80:AC80)</f>
        <v>50.19</v>
      </c>
      <c r="AF80" s="418"/>
      <c r="AG80" s="426"/>
    </row>
    <row r="81" spans="1:33" s="308" customFormat="1" ht="26.25" customHeight="1">
      <c r="A81" s="562"/>
      <c r="B81" s="557"/>
      <c r="C81" s="557"/>
      <c r="D81" s="405" t="s">
        <v>709</v>
      </c>
      <c r="E81" s="484">
        <v>5.4</v>
      </c>
      <c r="F81" s="484"/>
      <c r="G81" s="484"/>
      <c r="H81" s="484"/>
      <c r="I81" s="484"/>
      <c r="J81" s="484"/>
      <c r="K81" s="350"/>
      <c r="L81" s="484">
        <v>1.92</v>
      </c>
      <c r="M81" s="484"/>
      <c r="N81" s="484"/>
      <c r="O81" s="484"/>
      <c r="P81" s="484"/>
      <c r="Q81" s="350"/>
      <c r="R81" s="484">
        <v>1.92</v>
      </c>
      <c r="S81" s="484"/>
      <c r="T81" s="484"/>
      <c r="U81" s="484"/>
      <c r="V81" s="484"/>
      <c r="W81" s="404"/>
      <c r="X81" s="560">
        <v>1.92</v>
      </c>
      <c r="Y81" s="561"/>
      <c r="Z81" s="561"/>
      <c r="AA81" s="561"/>
      <c r="AB81" s="561"/>
      <c r="AC81" s="561"/>
      <c r="AD81" s="932"/>
      <c r="AE81" s="409">
        <f>SUM(E81:AC81)</f>
        <v>11.16</v>
      </c>
      <c r="AF81" s="418"/>
      <c r="AG81" s="426"/>
    </row>
    <row r="82" spans="1:33" s="308" customFormat="1" ht="26.25" customHeight="1">
      <c r="A82" s="562"/>
      <c r="B82" s="557"/>
      <c r="C82" s="557" t="s">
        <v>127</v>
      </c>
      <c r="D82" s="406" t="s">
        <v>651</v>
      </c>
      <c r="E82" s="484">
        <v>2.1150000000000002</v>
      </c>
      <c r="F82" s="484"/>
      <c r="G82" s="484"/>
      <c r="H82" s="484"/>
      <c r="I82" s="484"/>
      <c r="J82" s="484"/>
      <c r="K82" s="350"/>
      <c r="L82" s="484">
        <v>2.1150000000000002</v>
      </c>
      <c r="M82" s="484"/>
      <c r="N82" s="484"/>
      <c r="O82" s="484"/>
      <c r="P82" s="484"/>
      <c r="Q82" s="350"/>
      <c r="R82" s="484">
        <v>2.1150000000000002</v>
      </c>
      <c r="S82" s="484"/>
      <c r="T82" s="484"/>
      <c r="U82" s="484"/>
      <c r="V82" s="484"/>
      <c r="W82" s="404"/>
      <c r="X82" s="560">
        <v>2.1150000000000002</v>
      </c>
      <c r="Y82" s="561"/>
      <c r="Z82" s="561"/>
      <c r="AA82" s="561"/>
      <c r="AB82" s="561"/>
      <c r="AC82" s="561"/>
      <c r="AD82" s="932"/>
      <c r="AE82" s="409">
        <f>SUM(E82:AC82)</f>
        <v>8.4600000000000009</v>
      </c>
      <c r="AF82" s="418"/>
      <c r="AG82" s="426"/>
    </row>
    <row r="83" spans="1:33" s="308" customFormat="1" ht="17.25" customHeight="1">
      <c r="A83" s="562"/>
      <c r="B83" s="557"/>
      <c r="C83" s="557"/>
      <c r="D83" s="406" t="s">
        <v>652</v>
      </c>
      <c r="E83" s="484">
        <v>1.44</v>
      </c>
      <c r="F83" s="484"/>
      <c r="G83" s="484"/>
      <c r="H83" s="484"/>
      <c r="I83" s="484"/>
      <c r="J83" s="484"/>
      <c r="K83" s="350"/>
      <c r="L83" s="484">
        <v>1.44</v>
      </c>
      <c r="M83" s="484"/>
      <c r="N83" s="484"/>
      <c r="O83" s="484"/>
      <c r="P83" s="484"/>
      <c r="Q83" s="350"/>
      <c r="R83" s="484">
        <v>1.44</v>
      </c>
      <c r="S83" s="484"/>
      <c r="T83" s="484"/>
      <c r="U83" s="484"/>
      <c r="V83" s="484"/>
      <c r="W83" s="404"/>
      <c r="X83" s="560">
        <v>1.44</v>
      </c>
      <c r="Y83" s="561"/>
      <c r="Z83" s="561"/>
      <c r="AA83" s="561"/>
      <c r="AB83" s="561"/>
      <c r="AC83" s="561"/>
      <c r="AD83" s="932"/>
      <c r="AE83" s="409">
        <f>SUM(E83:AC83)</f>
        <v>5.76</v>
      </c>
      <c r="AF83" s="418"/>
      <c r="AG83" s="426"/>
    </row>
    <row r="84" spans="1:33" s="308" customFormat="1" ht="17.25" customHeight="1">
      <c r="A84" s="562"/>
      <c r="B84" s="557"/>
      <c r="C84" s="557"/>
      <c r="D84" s="406" t="s">
        <v>653</v>
      </c>
      <c r="E84" s="484">
        <v>210.85</v>
      </c>
      <c r="F84" s="484"/>
      <c r="G84" s="484"/>
      <c r="H84" s="484"/>
      <c r="I84" s="484"/>
      <c r="J84" s="484"/>
      <c r="K84" s="350"/>
      <c r="L84" s="484"/>
      <c r="M84" s="484"/>
      <c r="N84" s="484"/>
      <c r="O84" s="484"/>
      <c r="P84" s="484"/>
      <c r="Q84" s="350"/>
      <c r="R84" s="484"/>
      <c r="S84" s="484"/>
      <c r="T84" s="484"/>
      <c r="U84" s="484"/>
      <c r="V84" s="484"/>
      <c r="W84" s="404"/>
      <c r="X84" s="560"/>
      <c r="Y84" s="561"/>
      <c r="Z84" s="561"/>
      <c r="AA84" s="561"/>
      <c r="AB84" s="561"/>
      <c r="AC84" s="561"/>
      <c r="AD84" s="932"/>
      <c r="AE84" s="409">
        <f t="shared" ref="AE84:AE134" si="4">SUM(E84:AC84)</f>
        <v>210.85</v>
      </c>
      <c r="AF84" s="418"/>
      <c r="AG84" s="426"/>
    </row>
    <row r="85" spans="1:33" s="308" customFormat="1" ht="16.5" customHeight="1">
      <c r="A85" s="562"/>
      <c r="B85" s="557"/>
      <c r="C85" s="557"/>
      <c r="D85" s="406" t="s">
        <v>654</v>
      </c>
      <c r="E85" s="484">
        <v>2.8</v>
      </c>
      <c r="F85" s="484"/>
      <c r="G85" s="484"/>
      <c r="H85" s="484"/>
      <c r="I85" s="484"/>
      <c r="J85" s="484"/>
      <c r="K85" s="350"/>
      <c r="L85" s="484">
        <v>2.8</v>
      </c>
      <c r="M85" s="484"/>
      <c r="N85" s="484"/>
      <c r="O85" s="484"/>
      <c r="P85" s="484"/>
      <c r="Q85" s="350"/>
      <c r="R85" s="484">
        <v>0.3</v>
      </c>
      <c r="S85" s="484"/>
      <c r="T85" s="484"/>
      <c r="U85" s="484"/>
      <c r="V85" s="484"/>
      <c r="W85" s="404"/>
      <c r="X85" s="560">
        <v>0.3</v>
      </c>
      <c r="Y85" s="561"/>
      <c r="Z85" s="561"/>
      <c r="AA85" s="561"/>
      <c r="AB85" s="561"/>
      <c r="AC85" s="561"/>
      <c r="AD85" s="932"/>
      <c r="AE85" s="409">
        <f t="shared" si="4"/>
        <v>6.1999999999999993</v>
      </c>
      <c r="AF85" s="418"/>
      <c r="AG85" s="426"/>
    </row>
    <row r="86" spans="1:33" s="308" customFormat="1" ht="17.25" customHeight="1">
      <c r="A86" s="562"/>
      <c r="B86" s="557"/>
      <c r="C86" s="557"/>
      <c r="D86" s="406" t="s">
        <v>655</v>
      </c>
      <c r="E86" s="484">
        <v>3.71</v>
      </c>
      <c r="F86" s="484"/>
      <c r="G86" s="484"/>
      <c r="H86" s="484"/>
      <c r="I86" s="484"/>
      <c r="J86" s="484"/>
      <c r="K86" s="350"/>
      <c r="L86" s="484">
        <v>7.09</v>
      </c>
      <c r="M86" s="484"/>
      <c r="N86" s="484"/>
      <c r="O86" s="484"/>
      <c r="P86" s="484"/>
      <c r="Q86" s="350"/>
      <c r="R86" s="484">
        <v>7.09</v>
      </c>
      <c r="S86" s="484"/>
      <c r="T86" s="484"/>
      <c r="U86" s="484"/>
      <c r="V86" s="484"/>
      <c r="W86" s="404"/>
      <c r="X86" s="560">
        <v>7.09</v>
      </c>
      <c r="Y86" s="561"/>
      <c r="Z86" s="561"/>
      <c r="AA86" s="561"/>
      <c r="AB86" s="561"/>
      <c r="AC86" s="561"/>
      <c r="AD86" s="932"/>
      <c r="AE86" s="409">
        <f t="shared" si="4"/>
        <v>24.98</v>
      </c>
      <c r="AF86" s="418"/>
      <c r="AG86" s="426"/>
    </row>
    <row r="87" spans="1:33" s="308" customFormat="1" ht="25.5" customHeight="1">
      <c r="A87" s="562"/>
      <c r="B87" s="557"/>
      <c r="C87" s="557"/>
      <c r="D87" s="465" t="s">
        <v>656</v>
      </c>
      <c r="E87" s="484">
        <v>7.125</v>
      </c>
      <c r="F87" s="484"/>
      <c r="G87" s="484"/>
      <c r="H87" s="484"/>
      <c r="I87" s="484"/>
      <c r="J87" s="484"/>
      <c r="K87" s="350"/>
      <c r="L87" s="484">
        <v>7.125</v>
      </c>
      <c r="M87" s="484"/>
      <c r="N87" s="484"/>
      <c r="O87" s="484"/>
      <c r="P87" s="484"/>
      <c r="Q87" s="350"/>
      <c r="R87" s="484">
        <v>0</v>
      </c>
      <c r="S87" s="484"/>
      <c r="T87" s="484"/>
      <c r="U87" s="484"/>
      <c r="V87" s="484"/>
      <c r="W87" s="404"/>
      <c r="X87" s="560">
        <v>0</v>
      </c>
      <c r="Y87" s="561"/>
      <c r="Z87" s="561"/>
      <c r="AA87" s="561"/>
      <c r="AB87" s="561"/>
      <c r="AC87" s="561"/>
      <c r="AD87" s="932"/>
      <c r="AE87" s="409">
        <f t="shared" si="4"/>
        <v>14.25</v>
      </c>
      <c r="AF87" s="418"/>
      <c r="AG87" s="426"/>
    </row>
    <row r="88" spans="1:33" s="308" customFormat="1" ht="17.25" customHeight="1">
      <c r="A88" s="562"/>
      <c r="B88" s="557"/>
      <c r="C88" s="557"/>
      <c r="D88" s="465" t="s">
        <v>657</v>
      </c>
      <c r="E88" s="484">
        <v>5.7</v>
      </c>
      <c r="F88" s="484"/>
      <c r="G88" s="484"/>
      <c r="H88" s="484"/>
      <c r="I88" s="484"/>
      <c r="J88" s="484"/>
      <c r="K88" s="350"/>
      <c r="L88" s="484">
        <v>0</v>
      </c>
      <c r="M88" s="484"/>
      <c r="N88" s="484"/>
      <c r="O88" s="484"/>
      <c r="P88" s="484"/>
      <c r="Q88" s="350"/>
      <c r="R88" s="484">
        <v>0</v>
      </c>
      <c r="S88" s="484"/>
      <c r="T88" s="484"/>
      <c r="U88" s="484"/>
      <c r="V88" s="484"/>
      <c r="W88" s="404"/>
      <c r="X88" s="560">
        <v>0</v>
      </c>
      <c r="Y88" s="561"/>
      <c r="Z88" s="561"/>
      <c r="AA88" s="561"/>
      <c r="AB88" s="561"/>
      <c r="AC88" s="561"/>
      <c r="AD88" s="932"/>
      <c r="AE88" s="409">
        <f t="shared" si="4"/>
        <v>5.7</v>
      </c>
      <c r="AF88" s="418"/>
      <c r="AG88" s="426"/>
    </row>
    <row r="89" spans="1:33" s="308" customFormat="1" ht="15.75" customHeight="1">
      <c r="A89" s="562"/>
      <c r="B89" s="557"/>
      <c r="C89" s="557"/>
      <c r="D89" s="465" t="s">
        <v>701</v>
      </c>
      <c r="E89" s="484">
        <v>10</v>
      </c>
      <c r="F89" s="484"/>
      <c r="G89" s="484"/>
      <c r="H89" s="484"/>
      <c r="I89" s="484"/>
      <c r="J89" s="484"/>
      <c r="K89" s="350"/>
      <c r="L89" s="484">
        <v>0</v>
      </c>
      <c r="M89" s="484"/>
      <c r="N89" s="484"/>
      <c r="O89" s="484"/>
      <c r="P89" s="484"/>
      <c r="Q89" s="350"/>
      <c r="R89" s="484">
        <v>0</v>
      </c>
      <c r="S89" s="484"/>
      <c r="T89" s="484"/>
      <c r="U89" s="484"/>
      <c r="V89" s="484"/>
      <c r="W89" s="404"/>
      <c r="X89" s="560">
        <v>0</v>
      </c>
      <c r="Y89" s="561"/>
      <c r="Z89" s="561"/>
      <c r="AA89" s="561"/>
      <c r="AB89" s="561"/>
      <c r="AC89" s="561"/>
      <c r="AD89" s="932"/>
      <c r="AE89" s="409">
        <f t="shared" si="4"/>
        <v>10</v>
      </c>
      <c r="AF89" s="418"/>
      <c r="AG89" s="426"/>
    </row>
    <row r="90" spans="1:33" s="308" customFormat="1" ht="17.25" customHeight="1">
      <c r="A90" s="562"/>
      <c r="B90" s="557"/>
      <c r="C90" s="557"/>
      <c r="D90" s="465" t="s">
        <v>703</v>
      </c>
      <c r="E90" s="484">
        <v>4</v>
      </c>
      <c r="F90" s="484"/>
      <c r="G90" s="484"/>
      <c r="H90" s="484"/>
      <c r="I90" s="484"/>
      <c r="J90" s="484"/>
      <c r="K90" s="350"/>
      <c r="L90" s="484">
        <v>0</v>
      </c>
      <c r="M90" s="484"/>
      <c r="N90" s="484"/>
      <c r="O90" s="484"/>
      <c r="P90" s="484"/>
      <c r="Q90" s="350"/>
      <c r="R90" s="484">
        <v>0</v>
      </c>
      <c r="S90" s="484"/>
      <c r="T90" s="484"/>
      <c r="U90" s="484"/>
      <c r="V90" s="484"/>
      <c r="W90" s="350"/>
      <c r="X90" s="484">
        <v>0</v>
      </c>
      <c r="Y90" s="484"/>
      <c r="Z90" s="484"/>
      <c r="AA90" s="484"/>
      <c r="AB90" s="484"/>
      <c r="AC90" s="484"/>
      <c r="AD90" s="932"/>
      <c r="AE90" s="409">
        <f t="shared" si="4"/>
        <v>4</v>
      </c>
      <c r="AF90" s="418"/>
      <c r="AG90" s="426"/>
    </row>
    <row r="91" spans="1:33" s="308" customFormat="1" ht="17.25" customHeight="1">
      <c r="A91" s="558">
        <v>13</v>
      </c>
      <c r="B91" s="559" t="s">
        <v>27</v>
      </c>
      <c r="C91" s="557" t="s">
        <v>138</v>
      </c>
      <c r="D91" s="407" t="s">
        <v>139</v>
      </c>
      <c r="E91" s="552">
        <v>0.2</v>
      </c>
      <c r="F91" s="552"/>
      <c r="G91" s="552"/>
      <c r="H91" s="552"/>
      <c r="I91" s="552"/>
      <c r="J91" s="552"/>
      <c r="K91" s="408"/>
      <c r="L91" s="552">
        <v>0.2</v>
      </c>
      <c r="M91" s="552"/>
      <c r="N91" s="552"/>
      <c r="O91" s="552"/>
      <c r="P91" s="552"/>
      <c r="Q91" s="408"/>
      <c r="R91" s="552">
        <v>5.2</v>
      </c>
      <c r="S91" s="552"/>
      <c r="T91" s="552"/>
      <c r="U91" s="552"/>
      <c r="V91" s="552"/>
      <c r="W91" s="408"/>
      <c r="X91" s="552">
        <v>0.2</v>
      </c>
      <c r="Y91" s="552"/>
      <c r="Z91" s="552"/>
      <c r="AA91" s="552"/>
      <c r="AB91" s="552"/>
      <c r="AC91" s="552"/>
      <c r="AD91" s="958"/>
      <c r="AE91" s="409">
        <f t="shared" si="4"/>
        <v>5.8000000000000007</v>
      </c>
      <c r="AF91" s="418"/>
      <c r="AG91" s="426"/>
    </row>
    <row r="92" spans="1:33" s="308" customFormat="1" ht="17.25" customHeight="1">
      <c r="A92" s="558"/>
      <c r="B92" s="559"/>
      <c r="C92" s="557"/>
      <c r="D92" s="407" t="s">
        <v>77</v>
      </c>
      <c r="E92" s="549">
        <v>0.1</v>
      </c>
      <c r="F92" s="550"/>
      <c r="G92" s="550"/>
      <c r="H92" s="550"/>
      <c r="I92" s="550"/>
      <c r="J92" s="551"/>
      <c r="K92" s="410"/>
      <c r="L92" s="552">
        <v>0.1</v>
      </c>
      <c r="M92" s="552"/>
      <c r="N92" s="552"/>
      <c r="O92" s="552"/>
      <c r="P92" s="552"/>
      <c r="Q92" s="408"/>
      <c r="R92" s="552">
        <v>0.1</v>
      </c>
      <c r="S92" s="552"/>
      <c r="T92" s="552"/>
      <c r="U92" s="552"/>
      <c r="V92" s="552"/>
      <c r="W92" s="408"/>
      <c r="X92" s="552">
        <v>25.1</v>
      </c>
      <c r="Y92" s="552"/>
      <c r="Z92" s="552"/>
      <c r="AA92" s="552"/>
      <c r="AB92" s="552"/>
      <c r="AC92" s="552"/>
      <c r="AD92" s="958"/>
      <c r="AE92" s="409">
        <f t="shared" si="4"/>
        <v>25.400000000000002</v>
      </c>
      <c r="AF92" s="418"/>
      <c r="AG92" s="426"/>
    </row>
    <row r="93" spans="1:33" s="308" customFormat="1" ht="17.25" customHeight="1">
      <c r="A93" s="558"/>
      <c r="B93" s="559"/>
      <c r="C93" s="557" t="s">
        <v>127</v>
      </c>
      <c r="D93" s="407" t="s">
        <v>139</v>
      </c>
      <c r="E93" s="549">
        <v>0.5</v>
      </c>
      <c r="F93" s="550"/>
      <c r="G93" s="550"/>
      <c r="H93" s="550"/>
      <c r="I93" s="550"/>
      <c r="J93" s="551"/>
      <c r="K93" s="410"/>
      <c r="L93" s="552">
        <v>0.5</v>
      </c>
      <c r="M93" s="552"/>
      <c r="N93" s="552"/>
      <c r="O93" s="552"/>
      <c r="P93" s="552"/>
      <c r="Q93" s="408"/>
      <c r="R93" s="552">
        <v>0.5</v>
      </c>
      <c r="S93" s="552"/>
      <c r="T93" s="552"/>
      <c r="U93" s="552"/>
      <c r="V93" s="552"/>
      <c r="W93" s="408"/>
      <c r="X93" s="552">
        <v>0.5</v>
      </c>
      <c r="Y93" s="552"/>
      <c r="Z93" s="552"/>
      <c r="AA93" s="552"/>
      <c r="AB93" s="552"/>
      <c r="AC93" s="552"/>
      <c r="AD93" s="958"/>
      <c r="AE93" s="409">
        <f t="shared" si="4"/>
        <v>2</v>
      </c>
      <c r="AF93" s="418"/>
      <c r="AG93" s="426"/>
    </row>
    <row r="94" spans="1:33" s="308" customFormat="1" ht="17.25" customHeight="1">
      <c r="A94" s="558"/>
      <c r="B94" s="559"/>
      <c r="C94" s="557"/>
      <c r="D94" s="407" t="s">
        <v>77</v>
      </c>
      <c r="E94" s="549">
        <v>0.52</v>
      </c>
      <c r="F94" s="550"/>
      <c r="G94" s="550"/>
      <c r="H94" s="550"/>
      <c r="I94" s="550"/>
      <c r="J94" s="551"/>
      <c r="K94" s="410"/>
      <c r="L94" s="552">
        <v>0.52</v>
      </c>
      <c r="M94" s="552"/>
      <c r="N94" s="552"/>
      <c r="O94" s="552"/>
      <c r="P94" s="552"/>
      <c r="Q94" s="408"/>
      <c r="R94" s="552">
        <v>1.52</v>
      </c>
      <c r="S94" s="552"/>
      <c r="T94" s="552"/>
      <c r="U94" s="552"/>
      <c r="V94" s="552"/>
      <c r="W94" s="408"/>
      <c r="X94" s="552">
        <v>0.52</v>
      </c>
      <c r="Y94" s="552"/>
      <c r="Z94" s="552"/>
      <c r="AA94" s="552"/>
      <c r="AB94" s="552"/>
      <c r="AC94" s="552"/>
      <c r="AD94" s="958"/>
      <c r="AE94" s="409">
        <f t="shared" si="4"/>
        <v>3.08</v>
      </c>
      <c r="AF94" s="418"/>
      <c r="AG94" s="426"/>
    </row>
    <row r="95" spans="1:33" s="4" customFormat="1" ht="17.25" customHeight="1">
      <c r="A95" s="512">
        <v>14</v>
      </c>
      <c r="B95" s="554" t="s">
        <v>29</v>
      </c>
      <c r="C95" s="527" t="s">
        <v>7</v>
      </c>
      <c r="D95" s="9" t="s">
        <v>30</v>
      </c>
      <c r="E95" s="521"/>
      <c r="F95" s="521"/>
      <c r="G95" s="521"/>
      <c r="H95" s="521"/>
      <c r="I95" s="521"/>
      <c r="J95" s="521"/>
      <c r="K95" s="130"/>
      <c r="L95" s="521"/>
      <c r="M95" s="521"/>
      <c r="N95" s="521"/>
      <c r="O95" s="521"/>
      <c r="P95" s="521"/>
      <c r="Q95" s="130"/>
      <c r="R95" s="521"/>
      <c r="S95" s="521"/>
      <c r="T95" s="521"/>
      <c r="U95" s="521"/>
      <c r="V95" s="521"/>
      <c r="W95" s="130"/>
      <c r="X95" s="521"/>
      <c r="Y95" s="521"/>
      <c r="Z95" s="521"/>
      <c r="AA95" s="521"/>
      <c r="AB95" s="521"/>
      <c r="AC95" s="521"/>
      <c r="AD95" s="945"/>
      <c r="AE95" s="444">
        <f t="shared" si="4"/>
        <v>0</v>
      </c>
      <c r="AF95" s="418"/>
      <c r="AG95" s="548" t="s">
        <v>757</v>
      </c>
    </row>
    <row r="96" spans="1:33" s="4" customFormat="1" ht="17.25" customHeight="1">
      <c r="A96" s="553"/>
      <c r="B96" s="555"/>
      <c r="C96" s="529"/>
      <c r="D96" s="7" t="s">
        <v>11</v>
      </c>
      <c r="E96" s="514"/>
      <c r="F96" s="515"/>
      <c r="G96" s="515"/>
      <c r="H96" s="515"/>
      <c r="I96" s="515"/>
      <c r="J96" s="516"/>
      <c r="K96" s="411"/>
      <c r="L96" s="514"/>
      <c r="M96" s="515"/>
      <c r="N96" s="515"/>
      <c r="O96" s="515"/>
      <c r="P96" s="516"/>
      <c r="Q96" s="411"/>
      <c r="R96" s="514"/>
      <c r="S96" s="515"/>
      <c r="T96" s="515"/>
      <c r="U96" s="515"/>
      <c r="V96" s="516"/>
      <c r="W96" s="411"/>
      <c r="X96" s="514"/>
      <c r="Y96" s="515"/>
      <c r="Z96" s="515"/>
      <c r="AA96" s="515"/>
      <c r="AB96" s="515"/>
      <c r="AC96" s="516"/>
      <c r="AD96" s="411"/>
      <c r="AE96" s="423">
        <f t="shared" si="4"/>
        <v>0</v>
      </c>
      <c r="AF96" s="418"/>
      <c r="AG96" s="548"/>
    </row>
    <row r="97" spans="1:33" s="4" customFormat="1" ht="17.25" customHeight="1">
      <c r="A97" s="553"/>
      <c r="B97" s="555"/>
      <c r="C97" s="527" t="s">
        <v>12</v>
      </c>
      <c r="D97" s="10" t="s">
        <v>31</v>
      </c>
      <c r="E97" s="504"/>
      <c r="F97" s="505"/>
      <c r="G97" s="505"/>
      <c r="H97" s="505"/>
      <c r="I97" s="505"/>
      <c r="J97" s="506"/>
      <c r="K97" s="375"/>
      <c r="L97" s="504"/>
      <c r="M97" s="505"/>
      <c r="N97" s="505"/>
      <c r="O97" s="505"/>
      <c r="P97" s="506"/>
      <c r="Q97" s="375"/>
      <c r="R97" s="504"/>
      <c r="S97" s="505"/>
      <c r="T97" s="505"/>
      <c r="U97" s="505"/>
      <c r="V97" s="506"/>
      <c r="W97" s="375"/>
      <c r="X97" s="504"/>
      <c r="Y97" s="505"/>
      <c r="Z97" s="505"/>
      <c r="AA97" s="505"/>
      <c r="AB97" s="505"/>
      <c r="AC97" s="506"/>
      <c r="AD97" s="411"/>
      <c r="AE97" s="423">
        <f t="shared" si="4"/>
        <v>0</v>
      </c>
      <c r="AF97" s="418"/>
      <c r="AG97" s="548"/>
    </row>
    <row r="98" spans="1:33" s="4" customFormat="1" ht="17.25" customHeight="1">
      <c r="A98" s="513"/>
      <c r="B98" s="556"/>
      <c r="C98" s="529"/>
      <c r="D98" s="3" t="s">
        <v>11</v>
      </c>
      <c r="E98" s="504"/>
      <c r="F98" s="505"/>
      <c r="G98" s="505"/>
      <c r="H98" s="505"/>
      <c r="I98" s="505"/>
      <c r="J98" s="506"/>
      <c r="K98" s="375"/>
      <c r="L98" s="504"/>
      <c r="M98" s="505"/>
      <c r="N98" s="505"/>
      <c r="O98" s="505"/>
      <c r="P98" s="506"/>
      <c r="Q98" s="375"/>
      <c r="R98" s="504"/>
      <c r="S98" s="505"/>
      <c r="T98" s="505"/>
      <c r="U98" s="505"/>
      <c r="V98" s="506"/>
      <c r="W98" s="375"/>
      <c r="X98" s="504"/>
      <c r="Y98" s="505"/>
      <c r="Z98" s="505"/>
      <c r="AA98" s="505"/>
      <c r="AB98" s="505"/>
      <c r="AC98" s="506"/>
      <c r="AD98" s="411"/>
      <c r="AE98" s="423">
        <f t="shared" si="4"/>
        <v>0</v>
      </c>
      <c r="AF98" s="418"/>
      <c r="AG98" s="548"/>
    </row>
    <row r="99" spans="1:33" s="4" customFormat="1" ht="17.25" customHeight="1">
      <c r="A99" s="512">
        <v>15</v>
      </c>
      <c r="B99" s="527" t="s">
        <v>32</v>
      </c>
      <c r="C99" s="545" t="s">
        <v>7</v>
      </c>
      <c r="D99" s="546"/>
      <c r="E99" s="504"/>
      <c r="F99" s="505"/>
      <c r="G99" s="505"/>
      <c r="H99" s="505"/>
      <c r="I99" s="505"/>
      <c r="J99" s="506"/>
      <c r="K99" s="375"/>
      <c r="L99" s="504"/>
      <c r="M99" s="505"/>
      <c r="N99" s="505"/>
      <c r="O99" s="505"/>
      <c r="P99" s="506"/>
      <c r="Q99" s="375"/>
      <c r="R99" s="504"/>
      <c r="S99" s="505"/>
      <c r="T99" s="505"/>
      <c r="U99" s="505"/>
      <c r="V99" s="506"/>
      <c r="W99" s="375"/>
      <c r="X99" s="504"/>
      <c r="Y99" s="505"/>
      <c r="Z99" s="505"/>
      <c r="AA99" s="505"/>
      <c r="AB99" s="505"/>
      <c r="AC99" s="506"/>
      <c r="AD99" s="411"/>
      <c r="AE99" s="423">
        <f t="shared" si="4"/>
        <v>0</v>
      </c>
      <c r="AF99" s="418"/>
      <c r="AG99" s="507" t="s">
        <v>810</v>
      </c>
    </row>
    <row r="100" spans="1:33" s="4" customFormat="1" ht="17.25" customHeight="1">
      <c r="A100" s="513"/>
      <c r="B100" s="529"/>
      <c r="C100" s="545" t="s">
        <v>12</v>
      </c>
      <c r="D100" s="546"/>
      <c r="E100" s="504"/>
      <c r="F100" s="505"/>
      <c r="G100" s="505"/>
      <c r="H100" s="505"/>
      <c r="I100" s="505"/>
      <c r="J100" s="506"/>
      <c r="K100" s="375"/>
      <c r="L100" s="504"/>
      <c r="M100" s="505"/>
      <c r="N100" s="505"/>
      <c r="O100" s="505"/>
      <c r="P100" s="506"/>
      <c r="Q100" s="375"/>
      <c r="R100" s="504"/>
      <c r="S100" s="505"/>
      <c r="T100" s="505"/>
      <c r="U100" s="505"/>
      <c r="V100" s="506"/>
      <c r="W100" s="375"/>
      <c r="X100" s="504"/>
      <c r="Y100" s="505"/>
      <c r="Z100" s="505"/>
      <c r="AA100" s="505"/>
      <c r="AB100" s="505"/>
      <c r="AC100" s="506"/>
      <c r="AD100" s="411"/>
      <c r="AE100" s="423">
        <f t="shared" si="4"/>
        <v>0</v>
      </c>
      <c r="AF100" s="418"/>
      <c r="AG100" s="507"/>
    </row>
    <row r="101" spans="1:33" s="4" customFormat="1" ht="24.75" customHeight="1">
      <c r="A101" s="512">
        <v>16</v>
      </c>
      <c r="B101" s="527" t="s">
        <v>820</v>
      </c>
      <c r="C101" s="545" t="s">
        <v>7</v>
      </c>
      <c r="D101" s="546"/>
      <c r="E101" s="504"/>
      <c r="F101" s="505"/>
      <c r="G101" s="505"/>
      <c r="H101" s="505"/>
      <c r="I101" s="505"/>
      <c r="J101" s="506"/>
      <c r="K101" s="375"/>
      <c r="L101" s="504"/>
      <c r="M101" s="505"/>
      <c r="N101" s="505"/>
      <c r="O101" s="505"/>
      <c r="P101" s="506"/>
      <c r="Q101" s="375"/>
      <c r="R101" s="504"/>
      <c r="S101" s="505"/>
      <c r="T101" s="505"/>
      <c r="U101" s="505"/>
      <c r="V101" s="506"/>
      <c r="W101" s="375"/>
      <c r="X101" s="504"/>
      <c r="Y101" s="505"/>
      <c r="Z101" s="505"/>
      <c r="AA101" s="505"/>
      <c r="AB101" s="505"/>
      <c r="AC101" s="506"/>
      <c r="AD101" s="411"/>
      <c r="AE101" s="423">
        <f t="shared" si="4"/>
        <v>0</v>
      </c>
      <c r="AF101" s="418"/>
      <c r="AG101" s="446"/>
    </row>
    <row r="102" spans="1:33" s="4" customFormat="1" ht="22.5" customHeight="1">
      <c r="A102" s="513"/>
      <c r="B102" s="529"/>
      <c r="C102" s="545" t="s">
        <v>12</v>
      </c>
      <c r="D102" s="546"/>
      <c r="E102" s="504"/>
      <c r="F102" s="505"/>
      <c r="G102" s="505"/>
      <c r="H102" s="505"/>
      <c r="I102" s="505"/>
      <c r="J102" s="506"/>
      <c r="K102" s="375"/>
      <c r="L102" s="504"/>
      <c r="M102" s="505"/>
      <c r="N102" s="505"/>
      <c r="O102" s="505"/>
      <c r="P102" s="506"/>
      <c r="Q102" s="375"/>
      <c r="R102" s="504"/>
      <c r="S102" s="505"/>
      <c r="T102" s="505"/>
      <c r="U102" s="505"/>
      <c r="V102" s="506"/>
      <c r="W102" s="375"/>
      <c r="X102" s="504"/>
      <c r="Y102" s="505"/>
      <c r="Z102" s="505"/>
      <c r="AA102" s="505"/>
      <c r="AB102" s="505"/>
      <c r="AC102" s="506"/>
      <c r="AD102" s="411"/>
      <c r="AE102" s="423">
        <f t="shared" si="4"/>
        <v>0</v>
      </c>
      <c r="AF102" s="418"/>
      <c r="AG102" s="446"/>
    </row>
    <row r="103" spans="1:33" s="4" customFormat="1" ht="15.75" customHeight="1">
      <c r="A103" s="512">
        <v>17</v>
      </c>
      <c r="B103" s="527" t="s">
        <v>33</v>
      </c>
      <c r="C103" s="545" t="s">
        <v>7</v>
      </c>
      <c r="D103" s="546"/>
      <c r="E103" s="504"/>
      <c r="F103" s="505"/>
      <c r="G103" s="505"/>
      <c r="H103" s="505"/>
      <c r="I103" s="505"/>
      <c r="J103" s="506"/>
      <c r="K103" s="375"/>
      <c r="L103" s="504"/>
      <c r="M103" s="505"/>
      <c r="N103" s="505"/>
      <c r="O103" s="505"/>
      <c r="P103" s="506"/>
      <c r="Q103" s="375"/>
      <c r="R103" s="504"/>
      <c r="S103" s="505"/>
      <c r="T103" s="505"/>
      <c r="U103" s="505"/>
      <c r="V103" s="506"/>
      <c r="W103" s="375"/>
      <c r="X103" s="504"/>
      <c r="Y103" s="505"/>
      <c r="Z103" s="505"/>
      <c r="AA103" s="505"/>
      <c r="AB103" s="505"/>
      <c r="AC103" s="506"/>
      <c r="AD103" s="411"/>
      <c r="AE103" s="423">
        <f t="shared" si="4"/>
        <v>0</v>
      </c>
      <c r="AF103" s="418"/>
      <c r="AG103" s="507" t="s">
        <v>810</v>
      </c>
    </row>
    <row r="104" spans="1:33" s="4" customFormat="1" ht="15.75">
      <c r="A104" s="547"/>
      <c r="B104" s="528"/>
      <c r="C104" s="545" t="s">
        <v>12</v>
      </c>
      <c r="D104" s="546"/>
      <c r="E104" s="504"/>
      <c r="F104" s="505"/>
      <c r="G104" s="505"/>
      <c r="H104" s="505"/>
      <c r="I104" s="505"/>
      <c r="J104" s="506"/>
      <c r="K104" s="375"/>
      <c r="L104" s="504"/>
      <c r="M104" s="505"/>
      <c r="N104" s="505"/>
      <c r="O104" s="505"/>
      <c r="P104" s="506"/>
      <c r="Q104" s="375"/>
      <c r="R104" s="504"/>
      <c r="S104" s="505"/>
      <c r="T104" s="505"/>
      <c r="U104" s="505"/>
      <c r="V104" s="506"/>
      <c r="W104" s="375"/>
      <c r="X104" s="504"/>
      <c r="Y104" s="505"/>
      <c r="Z104" s="505"/>
      <c r="AA104" s="505"/>
      <c r="AB104" s="505"/>
      <c r="AC104" s="506"/>
      <c r="AD104" s="411"/>
      <c r="AE104" s="423">
        <f t="shared" si="4"/>
        <v>0</v>
      </c>
      <c r="AF104" s="418"/>
      <c r="AG104" s="507"/>
    </row>
    <row r="105" spans="1:33" s="4" customFormat="1" ht="17.25" customHeight="1">
      <c r="A105" s="541">
        <v>18</v>
      </c>
      <c r="B105" s="543" t="s">
        <v>839</v>
      </c>
      <c r="C105" s="539" t="s">
        <v>7</v>
      </c>
      <c r="D105" s="540"/>
      <c r="E105" s="536">
        <v>1</v>
      </c>
      <c r="F105" s="537"/>
      <c r="G105" s="537"/>
      <c r="H105" s="537"/>
      <c r="I105" s="537"/>
      <c r="J105" s="538"/>
      <c r="K105" s="384"/>
      <c r="L105" s="536">
        <v>0</v>
      </c>
      <c r="M105" s="537"/>
      <c r="N105" s="537"/>
      <c r="O105" s="537"/>
      <c r="P105" s="538"/>
      <c r="Q105" s="384"/>
      <c r="R105" s="536">
        <v>0</v>
      </c>
      <c r="S105" s="537"/>
      <c r="T105" s="537"/>
      <c r="U105" s="537"/>
      <c r="V105" s="538"/>
      <c r="W105" s="384"/>
      <c r="X105" s="536">
        <v>0</v>
      </c>
      <c r="Y105" s="537"/>
      <c r="Z105" s="537"/>
      <c r="AA105" s="537"/>
      <c r="AB105" s="537"/>
      <c r="AC105" s="538"/>
      <c r="AD105" s="384"/>
      <c r="AE105" s="383">
        <f t="shared" si="4"/>
        <v>1</v>
      </c>
      <c r="AF105" s="418"/>
      <c r="AG105" s="446"/>
    </row>
    <row r="106" spans="1:33" s="4" customFormat="1" ht="17.25" customHeight="1">
      <c r="A106" s="542"/>
      <c r="B106" s="544"/>
      <c r="C106" s="539" t="s">
        <v>12</v>
      </c>
      <c r="D106" s="540"/>
      <c r="E106" s="536">
        <v>0.7</v>
      </c>
      <c r="F106" s="537"/>
      <c r="G106" s="537"/>
      <c r="H106" s="537"/>
      <c r="I106" s="537"/>
      <c r="J106" s="538"/>
      <c r="K106" s="384"/>
      <c r="L106" s="536">
        <v>0.7</v>
      </c>
      <c r="M106" s="537"/>
      <c r="N106" s="537"/>
      <c r="O106" s="537"/>
      <c r="P106" s="538"/>
      <c r="Q106" s="384"/>
      <c r="R106" s="536">
        <v>0.7</v>
      </c>
      <c r="S106" s="537"/>
      <c r="T106" s="537"/>
      <c r="U106" s="537"/>
      <c r="V106" s="538"/>
      <c r="W106" s="384"/>
      <c r="X106" s="536">
        <v>0.7</v>
      </c>
      <c r="Y106" s="537"/>
      <c r="Z106" s="537"/>
      <c r="AA106" s="537"/>
      <c r="AB106" s="537"/>
      <c r="AC106" s="538"/>
      <c r="AD106" s="384"/>
      <c r="AE106" s="383">
        <f t="shared" si="4"/>
        <v>2.8</v>
      </c>
      <c r="AF106" s="418"/>
      <c r="AG106" s="446"/>
    </row>
    <row r="107" spans="1:33" s="4" customFormat="1" ht="15.75">
      <c r="A107" s="530">
        <v>19</v>
      </c>
      <c r="B107" s="533" t="s">
        <v>34</v>
      </c>
      <c r="C107" s="527" t="s">
        <v>7</v>
      </c>
      <c r="D107" s="5" t="s">
        <v>8</v>
      </c>
      <c r="E107" s="504">
        <v>0.93</v>
      </c>
      <c r="F107" s="505"/>
      <c r="G107" s="505"/>
      <c r="H107" s="505"/>
      <c r="I107" s="505"/>
      <c r="J107" s="506"/>
      <c r="K107" s="375"/>
      <c r="L107" s="504">
        <v>0</v>
      </c>
      <c r="M107" s="505"/>
      <c r="N107" s="505"/>
      <c r="O107" s="505"/>
      <c r="P107" s="506"/>
      <c r="Q107" s="375"/>
      <c r="R107" s="504">
        <v>0</v>
      </c>
      <c r="S107" s="505"/>
      <c r="T107" s="505"/>
      <c r="U107" s="505"/>
      <c r="V107" s="506"/>
      <c r="W107" s="375"/>
      <c r="X107" s="504">
        <v>0</v>
      </c>
      <c r="Y107" s="505"/>
      <c r="Z107" s="505"/>
      <c r="AA107" s="505"/>
      <c r="AB107" s="505"/>
      <c r="AC107" s="506"/>
      <c r="AD107" s="411"/>
      <c r="AE107" s="423">
        <f t="shared" si="4"/>
        <v>0.93</v>
      </c>
      <c r="AF107" s="418"/>
      <c r="AG107" s="449"/>
    </row>
    <row r="108" spans="1:33" s="4" customFormat="1" ht="15.75">
      <c r="A108" s="531"/>
      <c r="B108" s="534"/>
      <c r="C108" s="529"/>
      <c r="D108" s="5" t="s">
        <v>11</v>
      </c>
      <c r="E108" s="504">
        <v>0</v>
      </c>
      <c r="F108" s="505"/>
      <c r="G108" s="505"/>
      <c r="H108" s="505"/>
      <c r="I108" s="505"/>
      <c r="J108" s="506"/>
      <c r="K108" s="375"/>
      <c r="L108" s="504">
        <v>0</v>
      </c>
      <c r="M108" s="505"/>
      <c r="N108" s="505"/>
      <c r="O108" s="505"/>
      <c r="P108" s="506"/>
      <c r="Q108" s="375"/>
      <c r="R108" s="504">
        <v>0</v>
      </c>
      <c r="S108" s="505"/>
      <c r="T108" s="505"/>
      <c r="U108" s="505"/>
      <c r="V108" s="506"/>
      <c r="W108" s="375"/>
      <c r="X108" s="504">
        <v>0</v>
      </c>
      <c r="Y108" s="505"/>
      <c r="Z108" s="505"/>
      <c r="AA108" s="505"/>
      <c r="AB108" s="505"/>
      <c r="AC108" s="506"/>
      <c r="AD108" s="411"/>
      <c r="AE108" s="423">
        <f t="shared" si="4"/>
        <v>0</v>
      </c>
      <c r="AF108" s="418"/>
      <c r="AG108" s="449"/>
    </row>
    <row r="109" spans="1:33" s="4" customFormat="1" ht="15.75">
      <c r="A109" s="531"/>
      <c r="B109" s="534"/>
      <c r="C109" s="527" t="s">
        <v>12</v>
      </c>
      <c r="D109" s="5" t="s">
        <v>8</v>
      </c>
      <c r="E109" s="504">
        <v>9.65</v>
      </c>
      <c r="F109" s="505"/>
      <c r="G109" s="505"/>
      <c r="H109" s="505"/>
      <c r="I109" s="505"/>
      <c r="J109" s="506"/>
      <c r="K109" s="375"/>
      <c r="L109" s="504">
        <v>0</v>
      </c>
      <c r="M109" s="505"/>
      <c r="N109" s="505"/>
      <c r="O109" s="505"/>
      <c r="P109" s="506"/>
      <c r="Q109" s="375"/>
      <c r="R109" s="504">
        <v>3.05</v>
      </c>
      <c r="S109" s="505"/>
      <c r="T109" s="505"/>
      <c r="U109" s="505"/>
      <c r="V109" s="506"/>
      <c r="W109" s="375"/>
      <c r="X109" s="504">
        <v>0</v>
      </c>
      <c r="Y109" s="505"/>
      <c r="Z109" s="505"/>
      <c r="AA109" s="505"/>
      <c r="AB109" s="505"/>
      <c r="AC109" s="506"/>
      <c r="AD109" s="411"/>
      <c r="AE109" s="423">
        <f t="shared" si="4"/>
        <v>12.7</v>
      </c>
      <c r="AF109" s="418"/>
      <c r="AG109" s="449"/>
    </row>
    <row r="110" spans="1:33" s="4" customFormat="1" ht="15.75">
      <c r="A110" s="532"/>
      <c r="B110" s="535"/>
      <c r="C110" s="529"/>
      <c r="D110" s="5" t="s">
        <v>11</v>
      </c>
      <c r="E110" s="504">
        <v>0</v>
      </c>
      <c r="F110" s="505"/>
      <c r="G110" s="505"/>
      <c r="H110" s="505"/>
      <c r="I110" s="505"/>
      <c r="J110" s="506"/>
      <c r="K110" s="375"/>
      <c r="L110" s="504">
        <v>0</v>
      </c>
      <c r="M110" s="505"/>
      <c r="N110" s="505"/>
      <c r="O110" s="505"/>
      <c r="P110" s="506"/>
      <c r="Q110" s="375"/>
      <c r="R110" s="504">
        <v>0</v>
      </c>
      <c r="S110" s="505"/>
      <c r="T110" s="505"/>
      <c r="U110" s="505"/>
      <c r="V110" s="506"/>
      <c r="W110" s="375"/>
      <c r="X110" s="504">
        <v>0</v>
      </c>
      <c r="Y110" s="505"/>
      <c r="Z110" s="505"/>
      <c r="AA110" s="505"/>
      <c r="AB110" s="505"/>
      <c r="AC110" s="506"/>
      <c r="AD110" s="411"/>
      <c r="AE110" s="423">
        <f t="shared" si="4"/>
        <v>0</v>
      </c>
      <c r="AF110" s="418"/>
      <c r="AG110" s="449"/>
    </row>
    <row r="111" spans="1:33" s="4" customFormat="1" ht="15.75">
      <c r="A111" s="512">
        <v>20</v>
      </c>
      <c r="B111" s="527" t="s">
        <v>35</v>
      </c>
      <c r="C111" s="520" t="s">
        <v>7</v>
      </c>
      <c r="D111" s="509"/>
      <c r="E111" s="504"/>
      <c r="F111" s="505"/>
      <c r="G111" s="505"/>
      <c r="H111" s="505"/>
      <c r="I111" s="505"/>
      <c r="J111" s="506"/>
      <c r="K111" s="375"/>
      <c r="L111" s="504"/>
      <c r="M111" s="505"/>
      <c r="N111" s="505"/>
      <c r="O111" s="505"/>
      <c r="P111" s="506"/>
      <c r="Q111" s="375"/>
      <c r="R111" s="504"/>
      <c r="S111" s="505"/>
      <c r="T111" s="505"/>
      <c r="U111" s="505"/>
      <c r="V111" s="506"/>
      <c r="W111" s="375"/>
      <c r="X111" s="504"/>
      <c r="Y111" s="505"/>
      <c r="Z111" s="505"/>
      <c r="AA111" s="505"/>
      <c r="AB111" s="505"/>
      <c r="AC111" s="506"/>
      <c r="AD111" s="411"/>
      <c r="AE111" s="423">
        <f t="shared" si="4"/>
        <v>0</v>
      </c>
      <c r="AF111" s="418"/>
      <c r="AG111" s="507" t="s">
        <v>810</v>
      </c>
    </row>
    <row r="112" spans="1:33" s="4" customFormat="1" ht="15.75">
      <c r="A112" s="513"/>
      <c r="B112" s="528"/>
      <c r="C112" s="520" t="s">
        <v>12</v>
      </c>
      <c r="D112" s="509"/>
      <c r="E112" s="504"/>
      <c r="F112" s="505"/>
      <c r="G112" s="505"/>
      <c r="H112" s="505"/>
      <c r="I112" s="505"/>
      <c r="J112" s="506"/>
      <c r="K112" s="375"/>
      <c r="L112" s="504"/>
      <c r="M112" s="505"/>
      <c r="N112" s="505"/>
      <c r="O112" s="505"/>
      <c r="P112" s="506"/>
      <c r="Q112" s="375"/>
      <c r="R112" s="504"/>
      <c r="S112" s="505"/>
      <c r="T112" s="505"/>
      <c r="U112" s="505"/>
      <c r="V112" s="506"/>
      <c r="W112" s="375"/>
      <c r="X112" s="504"/>
      <c r="Y112" s="505"/>
      <c r="Z112" s="505"/>
      <c r="AA112" s="505"/>
      <c r="AB112" s="505"/>
      <c r="AC112" s="506"/>
      <c r="AD112" s="411"/>
      <c r="AE112" s="423">
        <f t="shared" si="4"/>
        <v>0</v>
      </c>
      <c r="AF112" s="418"/>
      <c r="AG112" s="507"/>
    </row>
    <row r="113" spans="1:33" s="4" customFormat="1" ht="15.75" customHeight="1">
      <c r="A113" s="512">
        <v>21</v>
      </c>
      <c r="B113" s="527" t="s">
        <v>36</v>
      </c>
      <c r="C113" s="520" t="s">
        <v>7</v>
      </c>
      <c r="D113" s="509"/>
      <c r="E113" s="504">
        <v>5</v>
      </c>
      <c r="F113" s="505"/>
      <c r="G113" s="505"/>
      <c r="H113" s="505"/>
      <c r="I113" s="505"/>
      <c r="J113" s="506"/>
      <c r="K113" s="375"/>
      <c r="L113" s="504">
        <v>5</v>
      </c>
      <c r="M113" s="505"/>
      <c r="N113" s="505"/>
      <c r="O113" s="505"/>
      <c r="P113" s="506"/>
      <c r="Q113" s="375"/>
      <c r="R113" s="504">
        <v>5</v>
      </c>
      <c r="S113" s="505"/>
      <c r="T113" s="505"/>
      <c r="U113" s="505"/>
      <c r="V113" s="506"/>
      <c r="W113" s="375"/>
      <c r="X113" s="504">
        <v>5</v>
      </c>
      <c r="Y113" s="505"/>
      <c r="Z113" s="505"/>
      <c r="AA113" s="505"/>
      <c r="AB113" s="505"/>
      <c r="AC113" s="506"/>
      <c r="AD113" s="411"/>
      <c r="AE113" s="423">
        <f t="shared" si="4"/>
        <v>20</v>
      </c>
      <c r="AF113" s="418"/>
      <c r="AG113" s="450"/>
    </row>
    <row r="114" spans="1:33" s="4" customFormat="1" ht="15.75">
      <c r="A114" s="513"/>
      <c r="B114" s="528"/>
      <c r="C114" s="520" t="s">
        <v>12</v>
      </c>
      <c r="D114" s="509"/>
      <c r="E114" s="504">
        <v>10</v>
      </c>
      <c r="F114" s="505"/>
      <c r="G114" s="505"/>
      <c r="H114" s="505"/>
      <c r="I114" s="505"/>
      <c r="J114" s="506"/>
      <c r="K114" s="375"/>
      <c r="L114" s="504">
        <v>10</v>
      </c>
      <c r="M114" s="505"/>
      <c r="N114" s="505"/>
      <c r="O114" s="505"/>
      <c r="P114" s="506"/>
      <c r="Q114" s="375"/>
      <c r="R114" s="504">
        <v>15</v>
      </c>
      <c r="S114" s="505"/>
      <c r="T114" s="505"/>
      <c r="U114" s="505"/>
      <c r="V114" s="506"/>
      <c r="W114" s="375"/>
      <c r="X114" s="504">
        <v>15</v>
      </c>
      <c r="Y114" s="505"/>
      <c r="Z114" s="505"/>
      <c r="AA114" s="505"/>
      <c r="AB114" s="505"/>
      <c r="AC114" s="506"/>
      <c r="AD114" s="411"/>
      <c r="AE114" s="423">
        <f t="shared" si="4"/>
        <v>50</v>
      </c>
      <c r="AF114" s="418"/>
      <c r="AG114" s="449"/>
    </row>
    <row r="115" spans="1:33" s="4" customFormat="1" ht="15.75">
      <c r="A115" s="512">
        <v>22</v>
      </c>
      <c r="B115" s="527" t="s">
        <v>37</v>
      </c>
      <c r="C115" s="520" t="s">
        <v>7</v>
      </c>
      <c r="D115" s="509"/>
      <c r="E115" s="504">
        <v>3.14</v>
      </c>
      <c r="F115" s="505"/>
      <c r="G115" s="505"/>
      <c r="H115" s="505"/>
      <c r="I115" s="505"/>
      <c r="J115" s="506"/>
      <c r="K115" s="375"/>
      <c r="L115" s="504">
        <v>1.46</v>
      </c>
      <c r="M115" s="505"/>
      <c r="N115" s="505"/>
      <c r="O115" s="505"/>
      <c r="P115" s="506"/>
      <c r="Q115" s="375"/>
      <c r="R115" s="504">
        <v>0.35</v>
      </c>
      <c r="S115" s="505"/>
      <c r="T115" s="505"/>
      <c r="U115" s="505"/>
      <c r="V115" s="506"/>
      <c r="W115" s="375"/>
      <c r="X115" s="504">
        <v>2.15</v>
      </c>
      <c r="Y115" s="505"/>
      <c r="Z115" s="505"/>
      <c r="AA115" s="505"/>
      <c r="AB115" s="505"/>
      <c r="AC115" s="506"/>
      <c r="AD115" s="411"/>
      <c r="AE115" s="423">
        <f t="shared" si="4"/>
        <v>7.1</v>
      </c>
      <c r="AF115" s="418"/>
      <c r="AG115" s="450"/>
    </row>
    <row r="116" spans="1:33" s="4" customFormat="1" ht="15.75">
      <c r="A116" s="513"/>
      <c r="B116" s="528"/>
      <c r="C116" s="520" t="s">
        <v>12</v>
      </c>
      <c r="D116" s="509"/>
      <c r="E116" s="504">
        <v>1.35</v>
      </c>
      <c r="F116" s="505"/>
      <c r="G116" s="505"/>
      <c r="H116" s="505"/>
      <c r="I116" s="505"/>
      <c r="J116" s="506"/>
      <c r="K116" s="375"/>
      <c r="L116" s="504">
        <v>1.35</v>
      </c>
      <c r="M116" s="505"/>
      <c r="N116" s="505"/>
      <c r="O116" s="505"/>
      <c r="P116" s="506"/>
      <c r="Q116" s="375"/>
      <c r="R116" s="504">
        <v>1.35</v>
      </c>
      <c r="S116" s="505"/>
      <c r="T116" s="505"/>
      <c r="U116" s="505"/>
      <c r="V116" s="506"/>
      <c r="W116" s="375"/>
      <c r="X116" s="504">
        <v>1.35</v>
      </c>
      <c r="Y116" s="505"/>
      <c r="Z116" s="505"/>
      <c r="AA116" s="505"/>
      <c r="AB116" s="505"/>
      <c r="AC116" s="506"/>
      <c r="AD116" s="411"/>
      <c r="AE116" s="423">
        <f t="shared" si="4"/>
        <v>5.4</v>
      </c>
      <c r="AF116" s="418"/>
      <c r="AG116" s="449"/>
    </row>
    <row r="117" spans="1:33" s="4" customFormat="1" ht="15.75">
      <c r="A117" s="512">
        <v>23</v>
      </c>
      <c r="B117" s="527" t="s">
        <v>38</v>
      </c>
      <c r="C117" s="520" t="s">
        <v>7</v>
      </c>
      <c r="D117" s="509"/>
      <c r="E117" s="504"/>
      <c r="F117" s="505"/>
      <c r="G117" s="505"/>
      <c r="H117" s="505"/>
      <c r="I117" s="505"/>
      <c r="J117" s="506"/>
      <c r="K117" s="375"/>
      <c r="L117" s="504"/>
      <c r="M117" s="505"/>
      <c r="N117" s="505"/>
      <c r="O117" s="505"/>
      <c r="P117" s="506"/>
      <c r="Q117" s="375"/>
      <c r="R117" s="504"/>
      <c r="S117" s="505"/>
      <c r="T117" s="505"/>
      <c r="U117" s="505"/>
      <c r="V117" s="506"/>
      <c r="W117" s="375"/>
      <c r="X117" s="504"/>
      <c r="Y117" s="505"/>
      <c r="Z117" s="505"/>
      <c r="AA117" s="505"/>
      <c r="AB117" s="505"/>
      <c r="AC117" s="506"/>
      <c r="AD117" s="411"/>
      <c r="AE117" s="423">
        <f t="shared" si="4"/>
        <v>0</v>
      </c>
      <c r="AF117" s="418"/>
      <c r="AG117" s="507" t="s">
        <v>810</v>
      </c>
    </row>
    <row r="118" spans="1:33" s="4" customFormat="1" ht="15.75">
      <c r="A118" s="513"/>
      <c r="B118" s="528"/>
      <c r="C118" s="520" t="s">
        <v>12</v>
      </c>
      <c r="D118" s="509"/>
      <c r="E118" s="504"/>
      <c r="F118" s="505"/>
      <c r="G118" s="505"/>
      <c r="H118" s="505"/>
      <c r="I118" s="505"/>
      <c r="J118" s="506"/>
      <c r="K118" s="375"/>
      <c r="L118" s="504"/>
      <c r="M118" s="505"/>
      <c r="N118" s="505"/>
      <c r="O118" s="505"/>
      <c r="P118" s="506"/>
      <c r="Q118" s="375"/>
      <c r="R118" s="504"/>
      <c r="S118" s="505"/>
      <c r="T118" s="505"/>
      <c r="U118" s="505"/>
      <c r="V118" s="506"/>
      <c r="W118" s="375"/>
      <c r="X118" s="504"/>
      <c r="Y118" s="505"/>
      <c r="Z118" s="505"/>
      <c r="AA118" s="505"/>
      <c r="AB118" s="505"/>
      <c r="AC118" s="506"/>
      <c r="AD118" s="411"/>
      <c r="AE118" s="423">
        <f t="shared" si="4"/>
        <v>0</v>
      </c>
      <c r="AF118" s="418"/>
      <c r="AG118" s="507"/>
    </row>
    <row r="119" spans="1:33" s="4" customFormat="1" ht="15.75">
      <c r="A119" s="512">
        <v>24</v>
      </c>
      <c r="B119" s="527" t="s">
        <v>39</v>
      </c>
      <c r="C119" s="520" t="s">
        <v>7</v>
      </c>
      <c r="D119" s="509"/>
      <c r="E119" s="504"/>
      <c r="F119" s="505"/>
      <c r="G119" s="505"/>
      <c r="H119" s="505"/>
      <c r="I119" s="505"/>
      <c r="J119" s="506"/>
      <c r="K119" s="375"/>
      <c r="L119" s="504"/>
      <c r="M119" s="505"/>
      <c r="N119" s="505"/>
      <c r="O119" s="505"/>
      <c r="P119" s="506"/>
      <c r="Q119" s="375"/>
      <c r="R119" s="504"/>
      <c r="S119" s="505"/>
      <c r="T119" s="505"/>
      <c r="U119" s="505"/>
      <c r="V119" s="506"/>
      <c r="W119" s="375"/>
      <c r="X119" s="504"/>
      <c r="Y119" s="505"/>
      <c r="Z119" s="505"/>
      <c r="AA119" s="505"/>
      <c r="AB119" s="505"/>
      <c r="AC119" s="506"/>
      <c r="AD119" s="411"/>
      <c r="AE119" s="423">
        <f t="shared" si="4"/>
        <v>0</v>
      </c>
      <c r="AF119" s="418"/>
      <c r="AG119" s="507" t="s">
        <v>810</v>
      </c>
    </row>
    <row r="120" spans="1:33" s="4" customFormat="1" ht="15.75">
      <c r="A120" s="513"/>
      <c r="B120" s="528"/>
      <c r="C120" s="520" t="s">
        <v>12</v>
      </c>
      <c r="D120" s="509"/>
      <c r="E120" s="504"/>
      <c r="F120" s="505"/>
      <c r="G120" s="505"/>
      <c r="H120" s="505"/>
      <c r="I120" s="505"/>
      <c r="J120" s="506"/>
      <c r="K120" s="375"/>
      <c r="L120" s="504"/>
      <c r="M120" s="505"/>
      <c r="N120" s="505"/>
      <c r="O120" s="505"/>
      <c r="P120" s="506"/>
      <c r="Q120" s="375"/>
      <c r="R120" s="504"/>
      <c r="S120" s="505"/>
      <c r="T120" s="505"/>
      <c r="U120" s="505"/>
      <c r="V120" s="506"/>
      <c r="W120" s="375"/>
      <c r="X120" s="504"/>
      <c r="Y120" s="505"/>
      <c r="Z120" s="505"/>
      <c r="AA120" s="505"/>
      <c r="AB120" s="505"/>
      <c r="AC120" s="506"/>
      <c r="AD120" s="411"/>
      <c r="AE120" s="423">
        <f t="shared" si="4"/>
        <v>0</v>
      </c>
      <c r="AF120" s="418"/>
      <c r="AG120" s="507"/>
    </row>
    <row r="121" spans="1:33" s="4" customFormat="1" ht="15.75" customHeight="1">
      <c r="A121" s="512">
        <v>25</v>
      </c>
      <c r="B121" s="527" t="s">
        <v>40</v>
      </c>
      <c r="C121" s="520" t="s">
        <v>7</v>
      </c>
      <c r="D121" s="509"/>
      <c r="E121" s="504">
        <v>0</v>
      </c>
      <c r="F121" s="505"/>
      <c r="G121" s="505"/>
      <c r="H121" s="505"/>
      <c r="I121" s="505"/>
      <c r="J121" s="506"/>
      <c r="K121" s="375"/>
      <c r="L121" s="504">
        <v>0</v>
      </c>
      <c r="M121" s="505"/>
      <c r="N121" s="505"/>
      <c r="O121" s="505"/>
      <c r="P121" s="506"/>
      <c r="Q121" s="375"/>
      <c r="R121" s="504">
        <v>0</v>
      </c>
      <c r="S121" s="505"/>
      <c r="T121" s="505"/>
      <c r="U121" s="505"/>
      <c r="V121" s="506"/>
      <c r="W121" s="375"/>
      <c r="X121" s="504">
        <v>0</v>
      </c>
      <c r="Y121" s="505"/>
      <c r="Z121" s="505"/>
      <c r="AA121" s="505"/>
      <c r="AB121" s="505"/>
      <c r="AC121" s="506"/>
      <c r="AD121" s="411"/>
      <c r="AE121" s="423">
        <f t="shared" si="4"/>
        <v>0</v>
      </c>
      <c r="AF121" s="418"/>
      <c r="AG121" s="450"/>
    </row>
    <row r="122" spans="1:33" s="4" customFormat="1" ht="15.75">
      <c r="A122" s="513"/>
      <c r="B122" s="528"/>
      <c r="C122" s="520" t="s">
        <v>12</v>
      </c>
      <c r="D122" s="509"/>
      <c r="E122" s="504">
        <v>1.4</v>
      </c>
      <c r="F122" s="505"/>
      <c r="G122" s="505"/>
      <c r="H122" s="505"/>
      <c r="I122" s="505"/>
      <c r="J122" s="506"/>
      <c r="K122" s="375"/>
      <c r="L122" s="504">
        <v>1.4</v>
      </c>
      <c r="M122" s="505"/>
      <c r="N122" s="505"/>
      <c r="O122" s="505"/>
      <c r="P122" s="506"/>
      <c r="Q122" s="375"/>
      <c r="R122" s="504">
        <v>1.4</v>
      </c>
      <c r="S122" s="505"/>
      <c r="T122" s="505"/>
      <c r="U122" s="505"/>
      <c r="V122" s="506"/>
      <c r="W122" s="375"/>
      <c r="X122" s="504">
        <v>1.4</v>
      </c>
      <c r="Y122" s="505"/>
      <c r="Z122" s="505"/>
      <c r="AA122" s="505"/>
      <c r="AB122" s="505"/>
      <c r="AC122" s="506"/>
      <c r="AD122" s="411"/>
      <c r="AE122" s="423">
        <f t="shared" si="4"/>
        <v>5.6</v>
      </c>
      <c r="AF122" s="418"/>
      <c r="AG122" s="449"/>
    </row>
    <row r="123" spans="1:33" s="4" customFormat="1" ht="15.75">
      <c r="A123" s="512">
        <v>26</v>
      </c>
      <c r="B123" s="480" t="s">
        <v>840</v>
      </c>
      <c r="C123" s="520" t="s">
        <v>7</v>
      </c>
      <c r="D123" s="509"/>
      <c r="E123" s="504">
        <v>0.67</v>
      </c>
      <c r="F123" s="505"/>
      <c r="G123" s="505"/>
      <c r="H123" s="505"/>
      <c r="I123" s="505"/>
      <c r="J123" s="506"/>
      <c r="K123" s="413"/>
      <c r="L123" s="522">
        <v>0.67</v>
      </c>
      <c r="M123" s="523"/>
      <c r="N123" s="523"/>
      <c r="O123" s="523"/>
      <c r="P123" s="524"/>
      <c r="Q123" s="399"/>
      <c r="R123" s="525">
        <v>0.67</v>
      </c>
      <c r="S123" s="523"/>
      <c r="T123" s="523"/>
      <c r="U123" s="523"/>
      <c r="V123" s="526"/>
      <c r="W123" s="399"/>
      <c r="X123" s="517">
        <v>0.67</v>
      </c>
      <c r="Y123" s="518"/>
      <c r="Z123" s="518"/>
      <c r="AA123" s="518"/>
      <c r="AB123" s="518"/>
      <c r="AC123" s="519"/>
      <c r="AD123" s="960"/>
      <c r="AE123" s="423">
        <f t="shared" si="4"/>
        <v>2.68</v>
      </c>
      <c r="AF123" s="31">
        <v>2.5</v>
      </c>
      <c r="AG123" s="450"/>
    </row>
    <row r="124" spans="1:33" s="4" customFormat="1" ht="15.75">
      <c r="A124" s="513"/>
      <c r="B124" s="480"/>
      <c r="C124" s="520" t="s">
        <v>12</v>
      </c>
      <c r="D124" s="509"/>
      <c r="E124" s="504">
        <v>0.15</v>
      </c>
      <c r="F124" s="505"/>
      <c r="G124" s="505"/>
      <c r="H124" s="505"/>
      <c r="I124" s="505"/>
      <c r="J124" s="505"/>
      <c r="K124" s="945"/>
      <c r="L124" s="521">
        <v>0.15</v>
      </c>
      <c r="M124" s="521"/>
      <c r="N124" s="521"/>
      <c r="O124" s="521"/>
      <c r="P124" s="521"/>
      <c r="Q124" s="130"/>
      <c r="R124" s="521">
        <v>0.15</v>
      </c>
      <c r="S124" s="521"/>
      <c r="T124" s="521"/>
      <c r="U124" s="521"/>
      <c r="V124" s="521"/>
      <c r="W124" s="945"/>
      <c r="X124" s="505">
        <v>0.15</v>
      </c>
      <c r="Y124" s="505"/>
      <c r="Z124" s="505"/>
      <c r="AA124" s="505"/>
      <c r="AB124" s="505"/>
      <c r="AC124" s="506"/>
      <c r="AD124" s="411"/>
      <c r="AE124" s="423">
        <f t="shared" si="4"/>
        <v>0.6</v>
      </c>
      <c r="AF124" s="31">
        <v>0.27</v>
      </c>
      <c r="AG124" s="449"/>
    </row>
    <row r="125" spans="1:33" s="4" customFormat="1" ht="15.75">
      <c r="A125" s="512">
        <v>27</v>
      </c>
      <c r="B125" s="483" t="s">
        <v>41</v>
      </c>
      <c r="C125" s="508" t="s">
        <v>7</v>
      </c>
      <c r="D125" s="509"/>
      <c r="E125" s="504"/>
      <c r="F125" s="505"/>
      <c r="G125" s="505"/>
      <c r="H125" s="505"/>
      <c r="I125" s="505"/>
      <c r="J125" s="506"/>
      <c r="K125" s="411"/>
      <c r="L125" s="514"/>
      <c r="M125" s="515"/>
      <c r="N125" s="515"/>
      <c r="O125" s="515"/>
      <c r="P125" s="516"/>
      <c r="Q125" s="411"/>
      <c r="R125" s="514"/>
      <c r="S125" s="515"/>
      <c r="T125" s="515"/>
      <c r="U125" s="515"/>
      <c r="V125" s="516"/>
      <c r="W125" s="411"/>
      <c r="X125" s="504"/>
      <c r="Y125" s="505"/>
      <c r="Z125" s="505"/>
      <c r="AA125" s="505"/>
      <c r="AB125" s="505"/>
      <c r="AC125" s="506"/>
      <c r="AD125" s="411"/>
      <c r="AE125" s="423">
        <f t="shared" si="4"/>
        <v>0</v>
      </c>
      <c r="AF125" s="418"/>
      <c r="AG125" s="507" t="s">
        <v>810</v>
      </c>
    </row>
    <row r="126" spans="1:33" s="4" customFormat="1" ht="15.75">
      <c r="A126" s="513"/>
      <c r="B126" s="483"/>
      <c r="C126" s="508" t="s">
        <v>12</v>
      </c>
      <c r="D126" s="509"/>
      <c r="E126" s="504"/>
      <c r="F126" s="505"/>
      <c r="G126" s="505"/>
      <c r="H126" s="505"/>
      <c r="I126" s="505"/>
      <c r="J126" s="506"/>
      <c r="K126" s="375"/>
      <c r="L126" s="504"/>
      <c r="M126" s="505"/>
      <c r="N126" s="505"/>
      <c r="O126" s="505"/>
      <c r="P126" s="506"/>
      <c r="Q126" s="375"/>
      <c r="R126" s="504"/>
      <c r="S126" s="505"/>
      <c r="T126" s="505"/>
      <c r="U126" s="505"/>
      <c r="V126" s="506"/>
      <c r="W126" s="375"/>
      <c r="X126" s="504"/>
      <c r="Y126" s="505"/>
      <c r="Z126" s="510"/>
      <c r="AA126" s="510"/>
      <c r="AB126" s="510"/>
      <c r="AC126" s="511"/>
      <c r="AD126" s="945"/>
      <c r="AE126" s="423">
        <f t="shared" si="4"/>
        <v>0</v>
      </c>
      <c r="AF126" s="418"/>
      <c r="AG126" s="507"/>
    </row>
    <row r="127" spans="1:33" s="4" customFormat="1" ht="15.75">
      <c r="A127" s="15">
        <v>28</v>
      </c>
      <c r="B127" s="501" t="s">
        <v>821</v>
      </c>
      <c r="C127" s="502"/>
      <c r="D127" s="503"/>
      <c r="E127" s="15"/>
      <c r="F127" s="15"/>
      <c r="G127" s="15"/>
      <c r="H127" s="15"/>
      <c r="I127" s="15"/>
      <c r="J127" s="15"/>
      <c r="K127" s="15"/>
      <c r="L127" s="15"/>
      <c r="M127" s="15"/>
      <c r="N127" s="15"/>
      <c r="O127" s="15"/>
      <c r="P127" s="15"/>
      <c r="Q127" s="15"/>
      <c r="R127" s="15"/>
      <c r="S127" s="15"/>
      <c r="T127" s="15"/>
      <c r="U127" s="15"/>
      <c r="V127" s="15"/>
      <c r="W127" s="15"/>
      <c r="X127" s="15"/>
      <c r="Y127" s="12"/>
      <c r="Z127" s="120"/>
      <c r="AA127" s="120"/>
      <c r="AB127" s="120"/>
      <c r="AC127" s="120"/>
      <c r="AD127" s="961"/>
      <c r="AE127" s="423">
        <f t="shared" si="4"/>
        <v>0</v>
      </c>
      <c r="AF127" s="418"/>
      <c r="AG127" s="456"/>
    </row>
    <row r="128" spans="1:33" s="4" customFormat="1" ht="15.75">
      <c r="A128" s="15">
        <v>29</v>
      </c>
      <c r="B128" s="501" t="s">
        <v>822</v>
      </c>
      <c r="C128" s="502"/>
      <c r="D128" s="503"/>
      <c r="E128" s="15"/>
      <c r="F128" s="15"/>
      <c r="G128" s="15"/>
      <c r="H128" s="15"/>
      <c r="I128" s="15"/>
      <c r="J128" s="15"/>
      <c r="K128" s="15"/>
      <c r="L128" s="15"/>
      <c r="M128" s="15"/>
      <c r="N128" s="15"/>
      <c r="O128" s="15"/>
      <c r="P128" s="15"/>
      <c r="Q128" s="15"/>
      <c r="R128" s="15"/>
      <c r="S128" s="15"/>
      <c r="T128" s="15"/>
      <c r="U128" s="15"/>
      <c r="V128" s="15"/>
      <c r="W128" s="15"/>
      <c r="X128" s="15"/>
      <c r="Y128" s="14"/>
      <c r="Z128" s="120"/>
      <c r="AA128" s="120"/>
      <c r="AB128" s="120"/>
      <c r="AC128" s="120"/>
      <c r="AD128" s="961"/>
      <c r="AE128" s="423">
        <f t="shared" si="4"/>
        <v>0</v>
      </c>
      <c r="AF128" s="418"/>
      <c r="AG128" s="456"/>
    </row>
    <row r="129" spans="1:33" s="4" customFormat="1" ht="15.75">
      <c r="A129" s="15">
        <v>30</v>
      </c>
      <c r="B129" s="501" t="s">
        <v>823</v>
      </c>
      <c r="C129" s="502"/>
      <c r="D129" s="503"/>
      <c r="E129" s="359">
        <f>50000/100000</f>
        <v>0.5</v>
      </c>
      <c r="F129" s="359"/>
      <c r="G129" s="359"/>
      <c r="H129" s="359"/>
      <c r="I129" s="359"/>
      <c r="J129" s="359"/>
      <c r="K129" s="359"/>
      <c r="L129" s="359">
        <f>50000/100000</f>
        <v>0.5</v>
      </c>
      <c r="M129" s="417"/>
      <c r="N129" s="418"/>
      <c r="O129" s="418"/>
      <c r="P129" s="326"/>
      <c r="Q129" s="952"/>
      <c r="R129" s="359">
        <f>50000/100000</f>
        <v>0.5</v>
      </c>
      <c r="S129" s="417"/>
      <c r="T129" s="418"/>
      <c r="U129" s="417"/>
      <c r="V129" s="326"/>
      <c r="W129" s="952"/>
      <c r="X129" s="359">
        <f>50000/100000</f>
        <v>0.5</v>
      </c>
      <c r="Y129" s="15"/>
      <c r="Z129" s="15"/>
      <c r="AA129" s="15"/>
      <c r="AB129" s="15"/>
      <c r="AC129" s="15"/>
      <c r="AD129" s="962"/>
      <c r="AE129" s="423">
        <f t="shared" si="4"/>
        <v>2</v>
      </c>
      <c r="AF129" s="418"/>
      <c r="AG129" s="456"/>
    </row>
    <row r="130" spans="1:33" s="4" customFormat="1" ht="15.75">
      <c r="A130" s="15">
        <v>31</v>
      </c>
      <c r="B130" s="501" t="s">
        <v>42</v>
      </c>
      <c r="C130" s="502"/>
      <c r="D130" s="503"/>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962"/>
      <c r="AE130" s="423">
        <f t="shared" si="4"/>
        <v>0</v>
      </c>
      <c r="AF130" s="418"/>
      <c r="AG130" s="456"/>
    </row>
    <row r="131" spans="1:33" s="4" customFormat="1" ht="15.75">
      <c r="A131" s="15">
        <v>32</v>
      </c>
      <c r="B131" s="501" t="s">
        <v>824</v>
      </c>
      <c r="C131" s="502"/>
      <c r="D131" s="503"/>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962"/>
      <c r="AE131" s="423">
        <f t="shared" si="4"/>
        <v>0</v>
      </c>
      <c r="AF131" s="418"/>
      <c r="AG131" s="456"/>
    </row>
    <row r="132" spans="1:33" s="4" customFormat="1" ht="15.75">
      <c r="A132" s="15">
        <v>33</v>
      </c>
      <c r="B132" s="501" t="s">
        <v>825</v>
      </c>
      <c r="C132" s="502"/>
      <c r="D132" s="503"/>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962"/>
      <c r="AE132" s="423">
        <f t="shared" si="4"/>
        <v>0</v>
      </c>
      <c r="AF132" s="418"/>
      <c r="AG132" s="456"/>
    </row>
    <row r="133" spans="1:33" ht="15.75">
      <c r="A133" s="15">
        <v>34</v>
      </c>
      <c r="B133" s="498" t="s">
        <v>44</v>
      </c>
      <c r="C133" s="499"/>
      <c r="D133" s="500"/>
      <c r="E133" s="15"/>
      <c r="F133" s="15"/>
      <c r="G133" s="15"/>
      <c r="H133" s="15"/>
      <c r="I133" s="15"/>
      <c r="J133" s="15"/>
      <c r="K133" s="15"/>
      <c r="L133" s="15"/>
      <c r="M133" s="15"/>
      <c r="N133" s="15"/>
      <c r="O133" s="15"/>
      <c r="P133" s="15">
        <v>0.25</v>
      </c>
      <c r="Q133" s="15"/>
      <c r="R133" s="15"/>
      <c r="S133" s="15"/>
      <c r="T133" s="15"/>
      <c r="U133" s="15"/>
      <c r="V133" s="15"/>
      <c r="W133" s="15"/>
      <c r="X133" s="15"/>
      <c r="Y133" s="15"/>
      <c r="Z133" s="15"/>
      <c r="AA133" s="15"/>
      <c r="AB133" s="15"/>
      <c r="AC133" s="15"/>
      <c r="AD133" s="962"/>
      <c r="AE133" s="423">
        <f t="shared" si="4"/>
        <v>0.25</v>
      </c>
      <c r="AF133" s="418"/>
      <c r="AG133" s="456"/>
    </row>
    <row r="134" spans="1:33" s="4" customFormat="1" ht="15.75">
      <c r="A134" s="15">
        <v>35</v>
      </c>
      <c r="B134" s="498" t="s">
        <v>45</v>
      </c>
      <c r="C134" s="499"/>
      <c r="D134" s="500"/>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962"/>
      <c r="AE134" s="423">
        <f t="shared" si="4"/>
        <v>0</v>
      </c>
      <c r="AF134" s="418"/>
      <c r="AG134" s="456"/>
    </row>
    <row r="135" spans="1:33" s="4" customFormat="1" ht="38.25" customHeight="1">
      <c r="A135" s="488" t="s">
        <v>5</v>
      </c>
      <c r="B135" s="489"/>
      <c r="C135" s="489"/>
      <c r="D135" s="490"/>
      <c r="E135" s="16"/>
      <c r="F135" s="16"/>
      <c r="G135" s="16"/>
      <c r="H135" s="16"/>
      <c r="I135" s="16"/>
      <c r="J135" s="16"/>
      <c r="K135" s="16"/>
      <c r="L135" s="16"/>
      <c r="M135" s="16"/>
      <c r="N135" s="16"/>
      <c r="O135" s="16"/>
      <c r="P135" s="16"/>
      <c r="Q135" s="16"/>
      <c r="R135" s="16"/>
      <c r="S135" s="16"/>
      <c r="T135" s="16"/>
      <c r="U135" s="16"/>
      <c r="V135" s="16"/>
      <c r="W135" s="16"/>
      <c r="X135" s="16"/>
      <c r="Y135" s="15"/>
      <c r="Z135" s="15"/>
      <c r="AA135" s="15"/>
      <c r="AB135" s="15"/>
      <c r="AC135" s="15"/>
      <c r="AD135" s="962"/>
      <c r="AE135" s="458">
        <f>SUM(AE7:AE134)</f>
        <v>2119.7334999999998</v>
      </c>
      <c r="AF135" s="459">
        <f>SUM(AF7:AF134)</f>
        <v>17.635000000000002</v>
      </c>
      <c r="AG135" s="460"/>
    </row>
    <row r="137" spans="1:33" s="4" customFormat="1" ht="15.75">
      <c r="A137" s="344">
        <v>36</v>
      </c>
      <c r="B137" s="491" t="s">
        <v>43</v>
      </c>
      <c r="C137" s="491"/>
      <c r="D137" s="491"/>
      <c r="E137" s="15"/>
      <c r="F137" s="15"/>
      <c r="G137" s="15"/>
      <c r="H137" s="15"/>
      <c r="I137" s="15"/>
      <c r="J137" s="15"/>
      <c r="K137" s="15"/>
      <c r="L137" s="15"/>
      <c r="M137" s="15"/>
      <c r="N137" s="15"/>
      <c r="O137" s="15"/>
      <c r="P137" s="15"/>
      <c r="Q137" s="15"/>
      <c r="R137" s="15"/>
      <c r="S137" s="15"/>
      <c r="T137" s="15"/>
      <c r="U137" s="15"/>
      <c r="V137" s="15">
        <v>58</v>
      </c>
      <c r="W137" s="15"/>
      <c r="X137" s="15"/>
      <c r="Y137" s="15"/>
      <c r="Z137" s="15"/>
      <c r="AA137" s="15"/>
      <c r="AB137" s="15"/>
      <c r="AC137" s="15"/>
      <c r="AD137" s="15"/>
      <c r="AE137" s="15">
        <v>58</v>
      </c>
      <c r="AF137" s="15"/>
      <c r="AG137" s="15"/>
    </row>
    <row r="138" spans="1:33" s="17" customFormat="1" ht="62.25" customHeight="1">
      <c r="A138" s="492" t="s">
        <v>841</v>
      </c>
      <c r="B138" s="493"/>
      <c r="C138" s="493"/>
      <c r="D138" s="493"/>
      <c r="E138" s="493"/>
      <c r="F138" s="493"/>
      <c r="G138" s="493"/>
      <c r="H138" s="493"/>
      <c r="I138" s="493"/>
      <c r="J138" s="493"/>
      <c r="K138" s="493"/>
      <c r="L138" s="493"/>
      <c r="M138" s="493"/>
      <c r="N138" s="493"/>
      <c r="O138" s="493"/>
      <c r="P138" s="493"/>
      <c r="Q138" s="493"/>
      <c r="R138" s="493"/>
      <c r="S138" s="493"/>
      <c r="T138" s="493"/>
      <c r="U138" s="493"/>
      <c r="V138" s="493"/>
      <c r="W138" s="493"/>
      <c r="X138" s="493"/>
      <c r="Y138" s="493"/>
      <c r="Z138" s="493"/>
      <c r="AA138" s="493"/>
      <c r="AB138" s="493"/>
      <c r="AC138" s="493"/>
      <c r="AD138" s="493"/>
      <c r="AE138" s="493"/>
      <c r="AF138" s="493"/>
      <c r="AG138" s="494"/>
    </row>
    <row r="158" ht="15.75" customHeight="1"/>
  </sheetData>
  <mergeCells count="553">
    <mergeCell ref="R59:V59"/>
    <mergeCell ref="X59:AC59"/>
    <mergeCell ref="E60:J60"/>
    <mergeCell ref="L60:P60"/>
    <mergeCell ref="R60:V60"/>
    <mergeCell ref="X60:AC60"/>
    <mergeCell ref="A1:AG1"/>
    <mergeCell ref="A2:AG2"/>
    <mergeCell ref="A3:AG3"/>
    <mergeCell ref="A4:A6"/>
    <mergeCell ref="B4:D6"/>
    <mergeCell ref="E4:AE4"/>
    <mergeCell ref="AG4:AG6"/>
    <mergeCell ref="E5:J5"/>
    <mergeCell ref="L5:P5"/>
    <mergeCell ref="R5:V5"/>
    <mergeCell ref="A15:A18"/>
    <mergeCell ref="B15:B18"/>
    <mergeCell ref="C16:C18"/>
    <mergeCell ref="A19:A23"/>
    <mergeCell ref="B19:B23"/>
    <mergeCell ref="C20:C23"/>
    <mergeCell ref="X5:AC5"/>
    <mergeCell ref="AE5:AE6"/>
    <mergeCell ref="A7:A14"/>
    <mergeCell ref="B7:B14"/>
    <mergeCell ref="C7:C10"/>
    <mergeCell ref="C11:C14"/>
    <mergeCell ref="X25:AC25"/>
    <mergeCell ref="E26:J26"/>
    <mergeCell ref="L26:P26"/>
    <mergeCell ref="R26:V26"/>
    <mergeCell ref="X26:AC26"/>
    <mergeCell ref="E27:J27"/>
    <mergeCell ref="L27:P27"/>
    <mergeCell ref="R27:V27"/>
    <mergeCell ref="X27:AC27"/>
    <mergeCell ref="E25:J25"/>
    <mergeCell ref="L25:P25"/>
    <mergeCell ref="R25:V25"/>
    <mergeCell ref="E30:J30"/>
    <mergeCell ref="L30:P30"/>
    <mergeCell ref="R30:V30"/>
    <mergeCell ref="X30:AC30"/>
    <mergeCell ref="E31:J31"/>
    <mergeCell ref="L31:P31"/>
    <mergeCell ref="R31:V31"/>
    <mergeCell ref="X31:AC31"/>
    <mergeCell ref="E28:J28"/>
    <mergeCell ref="L28:P28"/>
    <mergeCell ref="R28:V28"/>
    <mergeCell ref="X28:AC28"/>
    <mergeCell ref="E29:J29"/>
    <mergeCell ref="L29:P29"/>
    <mergeCell ref="R29:V29"/>
    <mergeCell ref="X29:AC29"/>
    <mergeCell ref="E32:J32"/>
    <mergeCell ref="L32:P32"/>
    <mergeCell ref="R32:V32"/>
    <mergeCell ref="X32:AC32"/>
    <mergeCell ref="A33:A40"/>
    <mergeCell ref="B33:B40"/>
    <mergeCell ref="C33:C34"/>
    <mergeCell ref="E33:J33"/>
    <mergeCell ref="L33:P33"/>
    <mergeCell ref="R33:V33"/>
    <mergeCell ref="A24:A32"/>
    <mergeCell ref="B24:B32"/>
    <mergeCell ref="E24:J24"/>
    <mergeCell ref="L24:P24"/>
    <mergeCell ref="R24:V24"/>
    <mergeCell ref="X24:AC24"/>
    <mergeCell ref="C25:C32"/>
    <mergeCell ref="X33:AC33"/>
    <mergeCell ref="E34:J34"/>
    <mergeCell ref="L34:P34"/>
    <mergeCell ref="R34:V34"/>
    <mergeCell ref="X34:AC34"/>
    <mergeCell ref="C35:C40"/>
    <mergeCell ref="E35:J35"/>
    <mergeCell ref="L35:P35"/>
    <mergeCell ref="R35:V35"/>
    <mergeCell ref="X35:AC35"/>
    <mergeCell ref="X38:AC38"/>
    <mergeCell ref="E39:J39"/>
    <mergeCell ref="L39:P39"/>
    <mergeCell ref="R39:V39"/>
    <mergeCell ref="X39:AC39"/>
    <mergeCell ref="E36:J36"/>
    <mergeCell ref="L36:P36"/>
    <mergeCell ref="R36:V36"/>
    <mergeCell ref="X36:AC36"/>
    <mergeCell ref="E37:J37"/>
    <mergeCell ref="L37:P37"/>
    <mergeCell ref="R37:V37"/>
    <mergeCell ref="X37:AC37"/>
    <mergeCell ref="A41:A44"/>
    <mergeCell ref="B41:B44"/>
    <mergeCell ref="C41:C42"/>
    <mergeCell ref="E41:J41"/>
    <mergeCell ref="L41:P41"/>
    <mergeCell ref="R41:V41"/>
    <mergeCell ref="E38:J38"/>
    <mergeCell ref="L38:P38"/>
    <mergeCell ref="R38:V38"/>
    <mergeCell ref="X41:AC41"/>
    <mergeCell ref="AG41:AG44"/>
    <mergeCell ref="E42:J42"/>
    <mergeCell ref="L42:P42"/>
    <mergeCell ref="R42:V42"/>
    <mergeCell ref="X42:AC42"/>
    <mergeCell ref="E40:J40"/>
    <mergeCell ref="L40:P40"/>
    <mergeCell ref="R40:V40"/>
    <mergeCell ref="X40:AC40"/>
    <mergeCell ref="C43:C44"/>
    <mergeCell ref="E43:J43"/>
    <mergeCell ref="L43:P43"/>
    <mergeCell ref="R43:V43"/>
    <mergeCell ref="X43:AC43"/>
    <mergeCell ref="E44:J44"/>
    <mergeCell ref="L44:P44"/>
    <mergeCell ref="R44:V44"/>
    <mergeCell ref="X44:AC44"/>
    <mergeCell ref="X45:AC45"/>
    <mergeCell ref="E46:J46"/>
    <mergeCell ref="L46:P46"/>
    <mergeCell ref="R46:V46"/>
    <mergeCell ref="X46:AC46"/>
    <mergeCell ref="C47:C48"/>
    <mergeCell ref="E47:J47"/>
    <mergeCell ref="L47:P47"/>
    <mergeCell ref="R47:V47"/>
    <mergeCell ref="X47:AC47"/>
    <mergeCell ref="C45:C46"/>
    <mergeCell ref="E45:J45"/>
    <mergeCell ref="L45:P45"/>
    <mergeCell ref="R45:V45"/>
    <mergeCell ref="E48:J48"/>
    <mergeCell ref="L48:P48"/>
    <mergeCell ref="R48:V48"/>
    <mergeCell ref="X48:AC48"/>
    <mergeCell ref="A49:A52"/>
    <mergeCell ref="B49:B52"/>
    <mergeCell ref="C49:C50"/>
    <mergeCell ref="E49:J49"/>
    <mergeCell ref="L49:P49"/>
    <mergeCell ref="R49:V49"/>
    <mergeCell ref="X49:AC49"/>
    <mergeCell ref="E50:J50"/>
    <mergeCell ref="L50:P50"/>
    <mergeCell ref="A45:A48"/>
    <mergeCell ref="B45:B48"/>
    <mergeCell ref="R50:V50"/>
    <mergeCell ref="X50:AC50"/>
    <mergeCell ref="C51:C52"/>
    <mergeCell ref="E51:J51"/>
    <mergeCell ref="L51:P51"/>
    <mergeCell ref="R51:V51"/>
    <mergeCell ref="X51:AC51"/>
    <mergeCell ref="E52:J52"/>
    <mergeCell ref="L52:P52"/>
    <mergeCell ref="R52:V52"/>
    <mergeCell ref="X52:AC52"/>
    <mergeCell ref="A53:A56"/>
    <mergeCell ref="B53:B56"/>
    <mergeCell ref="C53:C54"/>
    <mergeCell ref="E53:J53"/>
    <mergeCell ref="L53:P53"/>
    <mergeCell ref="R53:V53"/>
    <mergeCell ref="X53:AC53"/>
    <mergeCell ref="E54:J54"/>
    <mergeCell ref="L54:P54"/>
    <mergeCell ref="R54:V54"/>
    <mergeCell ref="X54:AC54"/>
    <mergeCell ref="C55:C56"/>
    <mergeCell ref="E55:J55"/>
    <mergeCell ref="L55:P55"/>
    <mergeCell ref="R55:V55"/>
    <mergeCell ref="X55:AC55"/>
    <mergeCell ref="E56:J56"/>
    <mergeCell ref="L56:P56"/>
    <mergeCell ref="R56:V56"/>
    <mergeCell ref="X56:AC56"/>
    <mergeCell ref="A61:A64"/>
    <mergeCell ref="B61:B64"/>
    <mergeCell ref="C61:C62"/>
    <mergeCell ref="E61:J61"/>
    <mergeCell ref="L61:P61"/>
    <mergeCell ref="R61:V61"/>
    <mergeCell ref="X61:AC61"/>
    <mergeCell ref="E62:J62"/>
    <mergeCell ref="L62:P62"/>
    <mergeCell ref="A57:A60"/>
    <mergeCell ref="B57:B60"/>
    <mergeCell ref="C57:C58"/>
    <mergeCell ref="E57:J57"/>
    <mergeCell ref="L57:P57"/>
    <mergeCell ref="R57:V57"/>
    <mergeCell ref="X57:AC57"/>
    <mergeCell ref="E58:J58"/>
    <mergeCell ref="L58:P58"/>
    <mergeCell ref="R58:V58"/>
    <mergeCell ref="X58:AC58"/>
    <mergeCell ref="C59:C60"/>
    <mergeCell ref="E59:J59"/>
    <mergeCell ref="L59:P59"/>
    <mergeCell ref="R62:V62"/>
    <mergeCell ref="X62:AC62"/>
    <mergeCell ref="C63:C64"/>
    <mergeCell ref="E63:J63"/>
    <mergeCell ref="L63:P63"/>
    <mergeCell ref="R63:V63"/>
    <mergeCell ref="X63:AC63"/>
    <mergeCell ref="E64:J64"/>
    <mergeCell ref="L64:P64"/>
    <mergeCell ref="R64:V64"/>
    <mergeCell ref="X64:AC64"/>
    <mergeCell ref="A65:A79"/>
    <mergeCell ref="B65:B79"/>
    <mergeCell ref="C65:C74"/>
    <mergeCell ref="E65:J65"/>
    <mergeCell ref="L65:P65"/>
    <mergeCell ref="R65:V65"/>
    <mergeCell ref="X65:AC65"/>
    <mergeCell ref="E66:J66"/>
    <mergeCell ref="L66:P66"/>
    <mergeCell ref="E68:J68"/>
    <mergeCell ref="L68:P68"/>
    <mergeCell ref="R68:V68"/>
    <mergeCell ref="X68:AC68"/>
    <mergeCell ref="E69:J69"/>
    <mergeCell ref="L69:P69"/>
    <mergeCell ref="R69:V69"/>
    <mergeCell ref="X69:AC69"/>
    <mergeCell ref="R66:V66"/>
    <mergeCell ref="X66:AC66"/>
    <mergeCell ref="E67:J67"/>
    <mergeCell ref="L67:P67"/>
    <mergeCell ref="R67:V67"/>
    <mergeCell ref="X67:AC67"/>
    <mergeCell ref="E72:J72"/>
    <mergeCell ref="L72:P72"/>
    <mergeCell ref="R72:V72"/>
    <mergeCell ref="X72:AC72"/>
    <mergeCell ref="E73:J73"/>
    <mergeCell ref="L73:P73"/>
    <mergeCell ref="R73:V73"/>
    <mergeCell ref="X73:AC73"/>
    <mergeCell ref="E70:J70"/>
    <mergeCell ref="L70:P70"/>
    <mergeCell ref="R70:V70"/>
    <mergeCell ref="X70:AC70"/>
    <mergeCell ref="E71:J71"/>
    <mergeCell ref="L71:P71"/>
    <mergeCell ref="R71:V71"/>
    <mergeCell ref="X71:AC71"/>
    <mergeCell ref="E74:J74"/>
    <mergeCell ref="L74:P74"/>
    <mergeCell ref="R74:V74"/>
    <mergeCell ref="X74:AC74"/>
    <mergeCell ref="C75:C79"/>
    <mergeCell ref="E75:J75"/>
    <mergeCell ref="L75:P75"/>
    <mergeCell ref="R75:V75"/>
    <mergeCell ref="X75:AC75"/>
    <mergeCell ref="E76:J76"/>
    <mergeCell ref="E78:J78"/>
    <mergeCell ref="L78:P78"/>
    <mergeCell ref="R78:V78"/>
    <mergeCell ref="X78:AC78"/>
    <mergeCell ref="E79:J79"/>
    <mergeCell ref="L79:P79"/>
    <mergeCell ref="R79:V79"/>
    <mergeCell ref="X79:AC79"/>
    <mergeCell ref="L76:P76"/>
    <mergeCell ref="R76:V76"/>
    <mergeCell ref="X76:AC76"/>
    <mergeCell ref="E77:J77"/>
    <mergeCell ref="L77:P77"/>
    <mergeCell ref="R77:V77"/>
    <mergeCell ref="X77:AC77"/>
    <mergeCell ref="X80:AC80"/>
    <mergeCell ref="E81:J81"/>
    <mergeCell ref="L81:P81"/>
    <mergeCell ref="R81:V81"/>
    <mergeCell ref="X81:AC81"/>
    <mergeCell ref="C82:C90"/>
    <mergeCell ref="E82:J82"/>
    <mergeCell ref="L82:P82"/>
    <mergeCell ref="R82:V82"/>
    <mergeCell ref="X82:AC82"/>
    <mergeCell ref="C80:C81"/>
    <mergeCell ref="E80:J80"/>
    <mergeCell ref="L80:P80"/>
    <mergeCell ref="R80:V80"/>
    <mergeCell ref="E83:J83"/>
    <mergeCell ref="L83:P83"/>
    <mergeCell ref="R83:V83"/>
    <mergeCell ref="E86:J86"/>
    <mergeCell ref="X83:AC83"/>
    <mergeCell ref="E84:J84"/>
    <mergeCell ref="L84:P84"/>
    <mergeCell ref="R84:V84"/>
    <mergeCell ref="X84:AC84"/>
    <mergeCell ref="E85:J85"/>
    <mergeCell ref="L85:P85"/>
    <mergeCell ref="R85:V85"/>
    <mergeCell ref="X85:AC85"/>
    <mergeCell ref="E88:J88"/>
    <mergeCell ref="L88:P88"/>
    <mergeCell ref="R88:V88"/>
    <mergeCell ref="X88:AC88"/>
    <mergeCell ref="E89:J89"/>
    <mergeCell ref="L89:P89"/>
    <mergeCell ref="R89:V89"/>
    <mergeCell ref="X89:AC89"/>
    <mergeCell ref="L86:P86"/>
    <mergeCell ref="R86:V86"/>
    <mergeCell ref="X86:AC86"/>
    <mergeCell ref="E87:J87"/>
    <mergeCell ref="L87:P87"/>
    <mergeCell ref="R87:V87"/>
    <mergeCell ref="X87:AC87"/>
    <mergeCell ref="E90:J90"/>
    <mergeCell ref="L90:P90"/>
    <mergeCell ref="R90:V90"/>
    <mergeCell ref="X90:AC90"/>
    <mergeCell ref="A91:A94"/>
    <mergeCell ref="B91:B94"/>
    <mergeCell ref="C91:C92"/>
    <mergeCell ref="E91:J91"/>
    <mergeCell ref="L91:P91"/>
    <mergeCell ref="R91:V91"/>
    <mergeCell ref="A80:A90"/>
    <mergeCell ref="B80:B90"/>
    <mergeCell ref="A95:A98"/>
    <mergeCell ref="B95:B98"/>
    <mergeCell ref="C95:C96"/>
    <mergeCell ref="E95:J95"/>
    <mergeCell ref="L95:P95"/>
    <mergeCell ref="R95:V95"/>
    <mergeCell ref="X91:AC91"/>
    <mergeCell ref="E92:J92"/>
    <mergeCell ref="L92:P92"/>
    <mergeCell ref="R92:V92"/>
    <mergeCell ref="X92:AC92"/>
    <mergeCell ref="C93:C94"/>
    <mergeCell ref="E93:J93"/>
    <mergeCell ref="L93:P93"/>
    <mergeCell ref="R93:V93"/>
    <mergeCell ref="X93:AC93"/>
    <mergeCell ref="X95:AC95"/>
    <mergeCell ref="AG95:AG98"/>
    <mergeCell ref="E96:J96"/>
    <mergeCell ref="L96:P96"/>
    <mergeCell ref="R96:V96"/>
    <mergeCell ref="X96:AC96"/>
    <mergeCell ref="E94:J94"/>
    <mergeCell ref="L94:P94"/>
    <mergeCell ref="R94:V94"/>
    <mergeCell ref="X94:AC94"/>
    <mergeCell ref="C97:C98"/>
    <mergeCell ref="E97:J97"/>
    <mergeCell ref="L97:P97"/>
    <mergeCell ref="R97:V97"/>
    <mergeCell ref="X97:AC97"/>
    <mergeCell ref="E98:J98"/>
    <mergeCell ref="L98:P98"/>
    <mergeCell ref="R98:V98"/>
    <mergeCell ref="X98:AC98"/>
    <mergeCell ref="X99:AC99"/>
    <mergeCell ref="AG99:AG100"/>
    <mergeCell ref="C100:D100"/>
    <mergeCell ref="E100:J100"/>
    <mergeCell ref="L100:P100"/>
    <mergeCell ref="R100:V100"/>
    <mergeCell ref="X100:AC100"/>
    <mergeCell ref="A99:A100"/>
    <mergeCell ref="B99:B100"/>
    <mergeCell ref="C99:D99"/>
    <mergeCell ref="E99:J99"/>
    <mergeCell ref="L99:P99"/>
    <mergeCell ref="R99:V99"/>
    <mergeCell ref="X101:AC101"/>
    <mergeCell ref="C102:D102"/>
    <mergeCell ref="E102:J102"/>
    <mergeCell ref="L102:P102"/>
    <mergeCell ref="R102:V102"/>
    <mergeCell ref="X102:AC102"/>
    <mergeCell ref="A101:A102"/>
    <mergeCell ref="B101:B102"/>
    <mergeCell ref="C101:D101"/>
    <mergeCell ref="E101:J101"/>
    <mergeCell ref="L101:P101"/>
    <mergeCell ref="R101:V101"/>
    <mergeCell ref="X103:AC103"/>
    <mergeCell ref="AG103:AG104"/>
    <mergeCell ref="C104:D104"/>
    <mergeCell ref="E104:J104"/>
    <mergeCell ref="L104:P104"/>
    <mergeCell ref="R104:V104"/>
    <mergeCell ref="X104:AC104"/>
    <mergeCell ref="A103:A104"/>
    <mergeCell ref="B103:B104"/>
    <mergeCell ref="C103:D103"/>
    <mergeCell ref="E103:J103"/>
    <mergeCell ref="L103:P103"/>
    <mergeCell ref="R103:V103"/>
    <mergeCell ref="X105:AC105"/>
    <mergeCell ref="C106:D106"/>
    <mergeCell ref="E106:J106"/>
    <mergeCell ref="L106:P106"/>
    <mergeCell ref="R106:V106"/>
    <mergeCell ref="X106:AC106"/>
    <mergeCell ref="A105:A106"/>
    <mergeCell ref="B105:B106"/>
    <mergeCell ref="C105:D105"/>
    <mergeCell ref="E105:J105"/>
    <mergeCell ref="L105:P105"/>
    <mergeCell ref="R105:V105"/>
    <mergeCell ref="X107:AC107"/>
    <mergeCell ref="E108:J108"/>
    <mergeCell ref="L108:P108"/>
    <mergeCell ref="R108:V108"/>
    <mergeCell ref="X108:AC108"/>
    <mergeCell ref="C109:C110"/>
    <mergeCell ref="E109:J109"/>
    <mergeCell ref="L109:P109"/>
    <mergeCell ref="R109:V109"/>
    <mergeCell ref="X109:AC109"/>
    <mergeCell ref="C107:C108"/>
    <mergeCell ref="E107:J107"/>
    <mergeCell ref="L107:P107"/>
    <mergeCell ref="R107:V107"/>
    <mergeCell ref="E110:J110"/>
    <mergeCell ref="L110:P110"/>
    <mergeCell ref="R110:V110"/>
    <mergeCell ref="AG111:AG112"/>
    <mergeCell ref="C112:D112"/>
    <mergeCell ref="E112:J112"/>
    <mergeCell ref="L112:P112"/>
    <mergeCell ref="R112:V112"/>
    <mergeCell ref="X112:AC112"/>
    <mergeCell ref="X110:AC110"/>
    <mergeCell ref="A111:A112"/>
    <mergeCell ref="B111:B112"/>
    <mergeCell ref="C111:D111"/>
    <mergeCell ref="E111:J111"/>
    <mergeCell ref="L111:P111"/>
    <mergeCell ref="R111:V111"/>
    <mergeCell ref="X111:AC111"/>
    <mergeCell ref="A107:A110"/>
    <mergeCell ref="B107:B110"/>
    <mergeCell ref="X113:AC113"/>
    <mergeCell ref="C114:D114"/>
    <mergeCell ref="E114:J114"/>
    <mergeCell ref="L114:P114"/>
    <mergeCell ref="R114:V114"/>
    <mergeCell ref="X114:AC114"/>
    <mergeCell ref="A113:A114"/>
    <mergeCell ref="B113:B114"/>
    <mergeCell ref="C113:D113"/>
    <mergeCell ref="E113:J113"/>
    <mergeCell ref="L113:P113"/>
    <mergeCell ref="R113:V113"/>
    <mergeCell ref="X115:AC115"/>
    <mergeCell ref="C116:D116"/>
    <mergeCell ref="E116:J116"/>
    <mergeCell ref="L116:P116"/>
    <mergeCell ref="R116:V116"/>
    <mergeCell ref="X116:AC116"/>
    <mergeCell ref="A115:A116"/>
    <mergeCell ref="B115:B116"/>
    <mergeCell ref="C115:D115"/>
    <mergeCell ref="E115:J115"/>
    <mergeCell ref="L115:P115"/>
    <mergeCell ref="R115:V115"/>
    <mergeCell ref="X117:AC117"/>
    <mergeCell ref="AG117:AG118"/>
    <mergeCell ref="C118:D118"/>
    <mergeCell ref="E118:J118"/>
    <mergeCell ref="L118:P118"/>
    <mergeCell ref="R118:V118"/>
    <mergeCell ref="X118:AC118"/>
    <mergeCell ref="A117:A118"/>
    <mergeCell ref="B117:B118"/>
    <mergeCell ref="C117:D117"/>
    <mergeCell ref="E117:J117"/>
    <mergeCell ref="L117:P117"/>
    <mergeCell ref="R117:V117"/>
    <mergeCell ref="X119:AC119"/>
    <mergeCell ref="AG119:AG120"/>
    <mergeCell ref="C120:D120"/>
    <mergeCell ref="E120:J120"/>
    <mergeCell ref="L120:P120"/>
    <mergeCell ref="R120:V120"/>
    <mergeCell ref="X120:AC120"/>
    <mergeCell ref="A119:A120"/>
    <mergeCell ref="B119:B120"/>
    <mergeCell ref="C119:D119"/>
    <mergeCell ref="E119:J119"/>
    <mergeCell ref="L119:P119"/>
    <mergeCell ref="R119:V119"/>
    <mergeCell ref="X121:AC121"/>
    <mergeCell ref="C122:D122"/>
    <mergeCell ref="E122:J122"/>
    <mergeCell ref="L122:P122"/>
    <mergeCell ref="R122:V122"/>
    <mergeCell ref="X122:AC122"/>
    <mergeCell ref="A121:A122"/>
    <mergeCell ref="B121:B122"/>
    <mergeCell ref="C121:D121"/>
    <mergeCell ref="E121:J121"/>
    <mergeCell ref="L121:P121"/>
    <mergeCell ref="R121:V121"/>
    <mergeCell ref="R125:V125"/>
    <mergeCell ref="X123:AC123"/>
    <mergeCell ref="C124:D124"/>
    <mergeCell ref="E124:J124"/>
    <mergeCell ref="L124:P124"/>
    <mergeCell ref="R124:V124"/>
    <mergeCell ref="X124:AC124"/>
    <mergeCell ref="A123:A124"/>
    <mergeCell ref="B123:B124"/>
    <mergeCell ref="C123:D123"/>
    <mergeCell ref="E123:J123"/>
    <mergeCell ref="L123:P123"/>
    <mergeCell ref="R123:V123"/>
    <mergeCell ref="A135:D135"/>
    <mergeCell ref="B137:D137"/>
    <mergeCell ref="A138:AG138"/>
    <mergeCell ref="AF4:AF6"/>
    <mergeCell ref="B133:D133"/>
    <mergeCell ref="B134:D134"/>
    <mergeCell ref="B127:D127"/>
    <mergeCell ref="B128:D128"/>
    <mergeCell ref="B129:D129"/>
    <mergeCell ref="B130:D130"/>
    <mergeCell ref="B131:D131"/>
    <mergeCell ref="B132:D132"/>
    <mergeCell ref="X125:AC125"/>
    <mergeCell ref="AG125:AG126"/>
    <mergeCell ref="C126:D126"/>
    <mergeCell ref="E126:J126"/>
    <mergeCell ref="L126:P126"/>
    <mergeCell ref="R126:V126"/>
    <mergeCell ref="X126:AC126"/>
    <mergeCell ref="A125:A126"/>
    <mergeCell ref="B125:B126"/>
    <mergeCell ref="C125:D125"/>
    <mergeCell ref="E125:J125"/>
    <mergeCell ref="L125:P1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8AFA-E2D3-471A-AE99-E4F16A148A0D}">
  <dimension ref="A1:K153"/>
  <sheetViews>
    <sheetView workbookViewId="0">
      <selection activeCell="J44" sqref="J44:K55"/>
    </sheetView>
  </sheetViews>
  <sheetFormatPr defaultRowHeight="15"/>
  <cols>
    <col min="1" max="1" width="5.5703125" style="1" customWidth="1"/>
    <col min="2" max="2" width="19.5703125" style="1" customWidth="1"/>
    <col min="3" max="3" width="18.140625" style="1" customWidth="1"/>
    <col min="4" max="4" width="27.7109375" style="1" customWidth="1"/>
    <col min="5" max="8" width="12" style="461" customWidth="1"/>
    <col min="9" max="9" width="12" style="1" customWidth="1"/>
    <col min="10" max="10" width="19" style="1" customWidth="1"/>
    <col min="11" max="11" width="27" style="1" customWidth="1"/>
    <col min="12" max="16384" width="9.140625" style="1"/>
  </cols>
  <sheetData>
    <row r="1" spans="1:11" ht="66" customHeight="1">
      <c r="A1" s="637" t="s">
        <v>829</v>
      </c>
      <c r="B1" s="638"/>
      <c r="C1" s="638"/>
      <c r="D1" s="638"/>
      <c r="E1" s="638"/>
      <c r="F1" s="638"/>
      <c r="G1" s="638"/>
      <c r="H1" s="638"/>
      <c r="I1" s="638"/>
      <c r="J1" s="638"/>
      <c r="K1" s="639"/>
    </row>
    <row r="2" spans="1:11" ht="19.5" customHeight="1">
      <c r="A2" s="640" t="s">
        <v>830</v>
      </c>
      <c r="B2" s="691"/>
      <c r="C2" s="691"/>
      <c r="D2" s="691"/>
      <c r="E2" s="691"/>
      <c r="F2" s="691"/>
      <c r="G2" s="691"/>
      <c r="H2" s="691"/>
      <c r="I2" s="691"/>
      <c r="J2" s="691"/>
      <c r="K2" s="692"/>
    </row>
    <row r="3" spans="1:11" ht="17.25" customHeight="1">
      <c r="A3" s="643" t="s">
        <v>1</v>
      </c>
      <c r="B3" s="644"/>
      <c r="C3" s="644"/>
      <c r="D3" s="644"/>
      <c r="E3" s="644"/>
      <c r="F3" s="644"/>
      <c r="G3" s="644"/>
      <c r="H3" s="644"/>
      <c r="I3" s="644"/>
      <c r="J3" s="644"/>
      <c r="K3" s="645"/>
    </row>
    <row r="4" spans="1:11" ht="34.5" customHeight="1">
      <c r="A4" s="419" t="s">
        <v>812</v>
      </c>
      <c r="B4" s="647" t="s">
        <v>2</v>
      </c>
      <c r="C4" s="648"/>
      <c r="D4" s="649"/>
      <c r="E4" s="656" t="s">
        <v>3</v>
      </c>
      <c r="F4" s="657"/>
      <c r="G4" s="657"/>
      <c r="H4" s="657"/>
      <c r="I4" s="658"/>
      <c r="J4" s="495" t="s">
        <v>4</v>
      </c>
      <c r="K4" s="693" t="s">
        <v>811</v>
      </c>
    </row>
    <row r="5" spans="1:11" ht="47.85" customHeight="1">
      <c r="A5" s="420"/>
      <c r="B5" s="650"/>
      <c r="C5" s="651"/>
      <c r="D5" s="652"/>
      <c r="E5" s="353" t="s">
        <v>813</v>
      </c>
      <c r="F5" s="353" t="s">
        <v>814</v>
      </c>
      <c r="G5" s="353" t="s">
        <v>815</v>
      </c>
      <c r="H5" s="353" t="s">
        <v>816</v>
      </c>
      <c r="I5" s="419" t="s">
        <v>5</v>
      </c>
      <c r="J5" s="496"/>
      <c r="K5" s="496"/>
    </row>
    <row r="6" spans="1:11" s="4" customFormat="1" ht="17.25" customHeight="1">
      <c r="A6" s="635">
        <v>1</v>
      </c>
      <c r="B6" s="636" t="s">
        <v>6</v>
      </c>
      <c r="C6" s="678" t="s">
        <v>7</v>
      </c>
      <c r="D6" s="10" t="s">
        <v>8</v>
      </c>
      <c r="E6" s="39">
        <v>0.5</v>
      </c>
      <c r="F6" s="39">
        <v>0</v>
      </c>
      <c r="G6" s="357">
        <v>0</v>
      </c>
      <c r="H6" s="383">
        <v>41</v>
      </c>
      <c r="I6" s="421">
        <f t="shared" ref="I6:I39" si="0">SUM(E6:H6)</f>
        <v>41.5</v>
      </c>
      <c r="J6" s="664" t="s">
        <v>810</v>
      </c>
      <c r="K6" s="120"/>
    </row>
    <row r="7" spans="1:11" s="4" customFormat="1" ht="17.25" customHeight="1">
      <c r="A7" s="553"/>
      <c r="B7" s="590"/>
      <c r="C7" s="590"/>
      <c r="D7" s="3" t="s">
        <v>9</v>
      </c>
      <c r="E7" s="39">
        <v>5.5</v>
      </c>
      <c r="F7" s="39">
        <v>0</v>
      </c>
      <c r="G7" s="357">
        <v>0</v>
      </c>
      <c r="H7" s="466">
        <v>13.5</v>
      </c>
      <c r="I7" s="409">
        <f t="shared" si="0"/>
        <v>19</v>
      </c>
      <c r="J7" s="665"/>
      <c r="K7" s="422"/>
    </row>
    <row r="8" spans="1:11" s="4" customFormat="1" ht="17.25" customHeight="1">
      <c r="A8" s="553"/>
      <c r="B8" s="590"/>
      <c r="C8" s="590"/>
      <c r="D8" s="5" t="s">
        <v>10</v>
      </c>
      <c r="E8" s="39">
        <v>0.75</v>
      </c>
      <c r="F8" s="39">
        <v>0</v>
      </c>
      <c r="G8" s="357">
        <v>0</v>
      </c>
      <c r="H8" s="466">
        <v>36.200000000000003</v>
      </c>
      <c r="I8" s="409">
        <f t="shared" si="0"/>
        <v>36.950000000000003</v>
      </c>
      <c r="J8" s="665"/>
      <c r="K8" s="337"/>
    </row>
    <row r="9" spans="1:11" s="4" customFormat="1" ht="17.25" customHeight="1">
      <c r="A9" s="553"/>
      <c r="B9" s="590"/>
      <c r="C9" s="529"/>
      <c r="D9" s="5" t="s">
        <v>11</v>
      </c>
      <c r="E9" s="39">
        <v>0</v>
      </c>
      <c r="F9" s="39">
        <v>0</v>
      </c>
      <c r="G9" s="358">
        <v>0</v>
      </c>
      <c r="H9" s="359">
        <v>0.5</v>
      </c>
      <c r="I9" s="423">
        <f t="shared" si="0"/>
        <v>0.5</v>
      </c>
      <c r="J9" s="665"/>
      <c r="K9" s="337"/>
    </row>
    <row r="10" spans="1:11" s="4" customFormat="1" ht="17.25" customHeight="1">
      <c r="A10" s="553"/>
      <c r="B10" s="590"/>
      <c r="C10" s="527" t="s">
        <v>12</v>
      </c>
      <c r="D10" s="5" t="s">
        <v>13</v>
      </c>
      <c r="E10" s="39">
        <v>1.0555000000000001</v>
      </c>
      <c r="F10" s="39">
        <v>1.0055000000000001</v>
      </c>
      <c r="G10" s="357">
        <v>1.0055000000000001</v>
      </c>
      <c r="H10" s="39">
        <v>1.0055000000000001</v>
      </c>
      <c r="I10" s="423">
        <f t="shared" si="0"/>
        <v>4.0720000000000001</v>
      </c>
      <c r="J10" s="665"/>
      <c r="K10" s="337"/>
    </row>
    <row r="11" spans="1:11" s="4" customFormat="1" ht="17.25" customHeight="1">
      <c r="A11" s="553"/>
      <c r="B11" s="590"/>
      <c r="C11" s="590"/>
      <c r="D11" s="5" t="s">
        <v>14</v>
      </c>
      <c r="E11" s="39">
        <v>0</v>
      </c>
      <c r="F11" s="39">
        <v>0</v>
      </c>
      <c r="G11" s="39">
        <v>0</v>
      </c>
      <c r="H11" s="39">
        <v>0</v>
      </c>
      <c r="I11" s="423">
        <f t="shared" si="0"/>
        <v>0</v>
      </c>
      <c r="J11" s="665"/>
      <c r="K11" s="337"/>
    </row>
    <row r="12" spans="1:11" s="4" customFormat="1" ht="17.25" customHeight="1">
      <c r="A12" s="553"/>
      <c r="B12" s="590"/>
      <c r="C12" s="590"/>
      <c r="D12" s="5" t="s">
        <v>15</v>
      </c>
      <c r="E12" s="39">
        <v>0.28000000000000003</v>
      </c>
      <c r="F12" s="39">
        <v>0.23</v>
      </c>
      <c r="G12" s="358">
        <v>0.23</v>
      </c>
      <c r="H12" s="359">
        <v>0.23</v>
      </c>
      <c r="I12" s="423">
        <f t="shared" si="0"/>
        <v>0.97</v>
      </c>
      <c r="J12" s="665"/>
      <c r="K12" s="337"/>
    </row>
    <row r="13" spans="1:11" s="4" customFormat="1" ht="17.25" customHeight="1">
      <c r="A13" s="513"/>
      <c r="B13" s="529"/>
      <c r="C13" s="529"/>
      <c r="D13" s="5" t="s">
        <v>11</v>
      </c>
      <c r="E13" s="39">
        <v>1</v>
      </c>
      <c r="F13" s="39">
        <v>1</v>
      </c>
      <c r="G13" s="39">
        <v>1</v>
      </c>
      <c r="H13" s="39">
        <v>1</v>
      </c>
      <c r="I13" s="423">
        <f t="shared" si="0"/>
        <v>4</v>
      </c>
      <c r="J13" s="665"/>
      <c r="K13" s="337"/>
    </row>
    <row r="14" spans="1:11" s="4" customFormat="1" ht="21" customHeight="1">
      <c r="A14" s="512">
        <v>2</v>
      </c>
      <c r="B14" s="527" t="s">
        <v>16</v>
      </c>
      <c r="C14" s="5" t="s">
        <v>7</v>
      </c>
      <c r="D14" s="5" t="s">
        <v>8</v>
      </c>
      <c r="E14" s="39">
        <v>0</v>
      </c>
      <c r="F14" s="39">
        <v>0</v>
      </c>
      <c r="G14" s="39">
        <v>0</v>
      </c>
      <c r="H14" s="39">
        <v>0</v>
      </c>
      <c r="I14" s="423">
        <f t="shared" si="0"/>
        <v>0</v>
      </c>
      <c r="J14" s="665"/>
      <c r="K14" s="337"/>
    </row>
    <row r="15" spans="1:11" s="4" customFormat="1" ht="17.25" customHeight="1">
      <c r="A15" s="553"/>
      <c r="B15" s="590"/>
      <c r="C15" s="527" t="s">
        <v>12</v>
      </c>
      <c r="D15" s="5" t="s">
        <v>17</v>
      </c>
      <c r="E15" s="39">
        <v>1.1499999999999999</v>
      </c>
      <c r="F15" s="39">
        <v>0.15</v>
      </c>
      <c r="G15" s="39">
        <v>0.35</v>
      </c>
      <c r="H15" s="39">
        <v>1.1499999999999999</v>
      </c>
      <c r="I15" s="423">
        <f t="shared" si="0"/>
        <v>2.8</v>
      </c>
      <c r="J15" s="665"/>
      <c r="K15" s="337"/>
    </row>
    <row r="16" spans="1:11" s="4" customFormat="1" ht="17.25" customHeight="1">
      <c r="A16" s="553"/>
      <c r="B16" s="590"/>
      <c r="C16" s="590"/>
      <c r="D16" s="5" t="s">
        <v>18</v>
      </c>
      <c r="E16" s="39">
        <v>0.15</v>
      </c>
      <c r="F16" s="39">
        <v>0.15</v>
      </c>
      <c r="G16" s="39">
        <v>0.15</v>
      </c>
      <c r="H16" s="39">
        <v>0.15</v>
      </c>
      <c r="I16" s="423">
        <f t="shared" si="0"/>
        <v>0.6</v>
      </c>
      <c r="J16" s="665"/>
      <c r="K16" s="337"/>
    </row>
    <row r="17" spans="1:11" s="4" customFormat="1" ht="17.25" customHeight="1">
      <c r="A17" s="513"/>
      <c r="B17" s="529"/>
      <c r="C17" s="529"/>
      <c r="D17" s="5" t="s">
        <v>11</v>
      </c>
      <c r="E17" s="39">
        <v>4</v>
      </c>
      <c r="F17" s="39">
        <v>4</v>
      </c>
      <c r="G17" s="39">
        <v>4</v>
      </c>
      <c r="H17" s="39">
        <v>4</v>
      </c>
      <c r="I17" s="423">
        <f t="shared" si="0"/>
        <v>16</v>
      </c>
      <c r="J17" s="665"/>
      <c r="K17" s="337"/>
    </row>
    <row r="18" spans="1:11" s="4" customFormat="1" ht="21" customHeight="1">
      <c r="A18" s="512">
        <v>3</v>
      </c>
      <c r="B18" s="627" t="s">
        <v>817</v>
      </c>
      <c r="C18" s="5" t="s">
        <v>7</v>
      </c>
      <c r="D18" s="5" t="s">
        <v>8</v>
      </c>
      <c r="E18" s="39">
        <v>0</v>
      </c>
      <c r="F18" s="39">
        <v>0</v>
      </c>
      <c r="G18" s="39">
        <v>0</v>
      </c>
      <c r="H18" s="39">
        <v>0</v>
      </c>
      <c r="I18" s="423">
        <f t="shared" si="0"/>
        <v>0</v>
      </c>
      <c r="J18" s="665"/>
      <c r="K18" s="337"/>
    </row>
    <row r="19" spans="1:11" s="4" customFormat="1" ht="17.25" customHeight="1">
      <c r="A19" s="553"/>
      <c r="B19" s="628"/>
      <c r="C19" s="527" t="s">
        <v>12</v>
      </c>
      <c r="D19" s="5" t="s">
        <v>17</v>
      </c>
      <c r="E19" s="39">
        <v>3.2</v>
      </c>
      <c r="F19" s="39">
        <v>4.5</v>
      </c>
      <c r="G19" s="39">
        <v>6.5</v>
      </c>
      <c r="H19" s="359">
        <v>8</v>
      </c>
      <c r="I19" s="423">
        <f t="shared" si="0"/>
        <v>22.2</v>
      </c>
      <c r="J19" s="665"/>
      <c r="K19" s="337"/>
    </row>
    <row r="20" spans="1:11" s="4" customFormat="1" ht="17.25" customHeight="1">
      <c r="A20" s="553"/>
      <c r="B20" s="628"/>
      <c r="C20" s="590"/>
      <c r="D20" s="5" t="s">
        <v>18</v>
      </c>
      <c r="E20" s="39">
        <v>4.25</v>
      </c>
      <c r="F20" s="39">
        <v>3.2</v>
      </c>
      <c r="G20" s="359">
        <v>3.95</v>
      </c>
      <c r="H20" s="359">
        <v>4.7</v>
      </c>
      <c r="I20" s="423">
        <f t="shared" si="0"/>
        <v>16.100000000000001</v>
      </c>
      <c r="J20" s="665"/>
      <c r="K20" s="337"/>
    </row>
    <row r="21" spans="1:11" s="4" customFormat="1" ht="17.25" customHeight="1">
      <c r="A21" s="553"/>
      <c r="B21" s="628"/>
      <c r="C21" s="590"/>
      <c r="D21" s="5" t="s">
        <v>19</v>
      </c>
      <c r="E21" s="39">
        <v>0.8</v>
      </c>
      <c r="F21" s="39">
        <v>0.55000000000000004</v>
      </c>
      <c r="G21" s="39">
        <v>0.8</v>
      </c>
      <c r="H21" s="39">
        <v>1.25</v>
      </c>
      <c r="I21" s="423">
        <f t="shared" si="0"/>
        <v>3.4000000000000004</v>
      </c>
      <c r="J21" s="665"/>
      <c r="K21" s="337"/>
    </row>
    <row r="22" spans="1:11" s="4" customFormat="1" ht="17.25" customHeight="1">
      <c r="A22" s="547"/>
      <c r="B22" s="690"/>
      <c r="C22" s="528"/>
      <c r="D22" s="5" t="s">
        <v>11</v>
      </c>
      <c r="E22" s="39">
        <v>0.01</v>
      </c>
      <c r="F22" s="39">
        <v>0</v>
      </c>
      <c r="G22" s="39">
        <v>0</v>
      </c>
      <c r="H22" s="39">
        <v>0.3</v>
      </c>
      <c r="I22" s="423">
        <f t="shared" si="0"/>
        <v>0.31</v>
      </c>
      <c r="J22" s="665"/>
      <c r="K22" s="424"/>
    </row>
    <row r="23" spans="1:11" s="308" customFormat="1" ht="27" customHeight="1">
      <c r="A23" s="683">
        <v>4</v>
      </c>
      <c r="B23" s="680" t="s">
        <v>610</v>
      </c>
      <c r="C23" s="38" t="s">
        <v>138</v>
      </c>
      <c r="D23" s="10" t="s">
        <v>139</v>
      </c>
      <c r="E23" s="425">
        <v>52.72</v>
      </c>
      <c r="F23" s="367">
        <v>52.75</v>
      </c>
      <c r="G23" s="367">
        <v>52.75</v>
      </c>
      <c r="H23" s="348">
        <v>52.75</v>
      </c>
      <c r="I23" s="409">
        <f t="shared" si="0"/>
        <v>210.97</v>
      </c>
      <c r="J23" s="665"/>
      <c r="K23" s="426"/>
    </row>
    <row r="24" spans="1:11" s="307" customFormat="1" ht="15" customHeight="1">
      <c r="A24" s="684"/>
      <c r="B24" s="681"/>
      <c r="C24" s="680" t="s">
        <v>127</v>
      </c>
      <c r="D24" s="27" t="s">
        <v>95</v>
      </c>
      <c r="E24" s="425">
        <v>42.35</v>
      </c>
      <c r="F24" s="348">
        <v>10.7</v>
      </c>
      <c r="G24" s="348">
        <v>5.68</v>
      </c>
      <c r="H24" s="124">
        <v>0</v>
      </c>
      <c r="I24" s="409">
        <f t="shared" si="0"/>
        <v>58.73</v>
      </c>
      <c r="J24" s="665"/>
      <c r="K24" s="427"/>
    </row>
    <row r="25" spans="1:11" s="307" customFormat="1" ht="20.25" customHeight="1">
      <c r="A25" s="684"/>
      <c r="B25" s="681"/>
      <c r="C25" s="681"/>
      <c r="D25" s="27" t="s">
        <v>96</v>
      </c>
      <c r="E25" s="428">
        <v>5</v>
      </c>
      <c r="F25" s="33">
        <v>5</v>
      </c>
      <c r="G25" s="33">
        <v>5</v>
      </c>
      <c r="H25" s="33">
        <v>5</v>
      </c>
      <c r="I25" s="423">
        <f t="shared" si="0"/>
        <v>20</v>
      </c>
      <c r="J25" s="665"/>
      <c r="K25" s="427"/>
    </row>
    <row r="26" spans="1:11" s="307" customFormat="1" ht="35.25" customHeight="1">
      <c r="A26" s="684"/>
      <c r="B26" s="681"/>
      <c r="C26" s="681"/>
      <c r="D26" s="27" t="s">
        <v>97</v>
      </c>
      <c r="E26" s="428">
        <v>7</v>
      </c>
      <c r="F26" s="33">
        <v>7</v>
      </c>
      <c r="G26" s="33">
        <v>7</v>
      </c>
      <c r="H26" s="33">
        <v>7</v>
      </c>
      <c r="I26" s="423">
        <f t="shared" si="0"/>
        <v>28</v>
      </c>
      <c r="J26" s="665"/>
      <c r="K26" s="427"/>
    </row>
    <row r="27" spans="1:11" s="307" customFormat="1" ht="35.25" customHeight="1">
      <c r="A27" s="684"/>
      <c r="B27" s="681"/>
      <c r="C27" s="681"/>
      <c r="D27" s="27" t="s">
        <v>98</v>
      </c>
      <c r="E27" s="428">
        <v>0</v>
      </c>
      <c r="F27" s="33">
        <v>5</v>
      </c>
      <c r="G27" s="33">
        <v>0</v>
      </c>
      <c r="H27" s="33">
        <v>5</v>
      </c>
      <c r="I27" s="423">
        <f t="shared" si="0"/>
        <v>10</v>
      </c>
      <c r="J27" s="665"/>
      <c r="K27" s="427"/>
    </row>
    <row r="28" spans="1:11" s="307" customFormat="1" ht="18.75" customHeight="1">
      <c r="A28" s="684"/>
      <c r="B28" s="681"/>
      <c r="C28" s="681"/>
      <c r="D28" s="27" t="s">
        <v>99</v>
      </c>
      <c r="E28" s="428">
        <v>1</v>
      </c>
      <c r="F28" s="33">
        <v>1</v>
      </c>
      <c r="G28" s="33">
        <v>1</v>
      </c>
      <c r="H28" s="33">
        <v>1</v>
      </c>
      <c r="I28" s="423">
        <f t="shared" si="0"/>
        <v>4</v>
      </c>
      <c r="J28" s="665"/>
      <c r="K28" s="427"/>
    </row>
    <row r="29" spans="1:11" s="307" customFormat="1" ht="35.25" customHeight="1">
      <c r="A29" s="684"/>
      <c r="B29" s="681"/>
      <c r="C29" s="681"/>
      <c r="D29" s="27" t="s">
        <v>100</v>
      </c>
      <c r="E29" s="428">
        <v>0.5</v>
      </c>
      <c r="F29" s="33">
        <v>0.5</v>
      </c>
      <c r="G29" s="33">
        <v>0.5</v>
      </c>
      <c r="H29" s="33">
        <v>0.5</v>
      </c>
      <c r="I29" s="423">
        <f t="shared" si="0"/>
        <v>2</v>
      </c>
      <c r="J29" s="665"/>
      <c r="K29" s="427"/>
    </row>
    <row r="30" spans="1:11" s="307" customFormat="1" ht="35.25" customHeight="1">
      <c r="A30" s="684"/>
      <c r="B30" s="681"/>
      <c r="C30" s="681"/>
      <c r="D30" s="27" t="s">
        <v>101</v>
      </c>
      <c r="E30" s="428">
        <v>10</v>
      </c>
      <c r="F30" s="33">
        <v>0</v>
      </c>
      <c r="G30" s="33">
        <v>0</v>
      </c>
      <c r="H30" s="33">
        <v>0</v>
      </c>
      <c r="I30" s="423">
        <f t="shared" si="0"/>
        <v>10</v>
      </c>
      <c r="J30" s="665"/>
      <c r="K30" s="427"/>
    </row>
    <row r="31" spans="1:11" s="307" customFormat="1" ht="16.5" customHeight="1">
      <c r="A31" s="685"/>
      <c r="B31" s="682"/>
      <c r="C31" s="682"/>
      <c r="D31" s="27" t="s">
        <v>102</v>
      </c>
      <c r="E31" s="429">
        <v>1</v>
      </c>
      <c r="F31" s="369">
        <v>1</v>
      </c>
      <c r="G31" s="369">
        <v>1</v>
      </c>
      <c r="H31" s="33">
        <v>1</v>
      </c>
      <c r="I31" s="423">
        <f t="shared" si="0"/>
        <v>4</v>
      </c>
      <c r="J31" s="665"/>
      <c r="K31" s="427"/>
    </row>
    <row r="32" spans="1:11" s="4" customFormat="1" ht="17.25" customHeight="1">
      <c r="A32" s="512">
        <v>5</v>
      </c>
      <c r="B32" s="527" t="s">
        <v>21</v>
      </c>
      <c r="C32" s="527" t="s">
        <v>7</v>
      </c>
      <c r="D32" s="11" t="s">
        <v>8</v>
      </c>
      <c r="E32" s="371">
        <v>0</v>
      </c>
      <c r="F32" s="372">
        <v>0</v>
      </c>
      <c r="G32" s="374">
        <v>0</v>
      </c>
      <c r="H32" s="374">
        <v>0</v>
      </c>
      <c r="I32" s="423">
        <f t="shared" si="0"/>
        <v>0</v>
      </c>
      <c r="J32" s="665"/>
      <c r="K32" s="337"/>
    </row>
    <row r="33" spans="1:11" s="4" customFormat="1" ht="17.25" customHeight="1">
      <c r="A33" s="553"/>
      <c r="B33" s="590"/>
      <c r="C33" s="529"/>
      <c r="D33" s="11" t="s">
        <v>11</v>
      </c>
      <c r="E33" s="371">
        <v>0.95</v>
      </c>
      <c r="F33" s="372">
        <v>0</v>
      </c>
      <c r="G33" s="374">
        <v>0</v>
      </c>
      <c r="H33" s="374">
        <v>0</v>
      </c>
      <c r="I33" s="423">
        <f t="shared" si="0"/>
        <v>0.95</v>
      </c>
      <c r="J33" s="665"/>
      <c r="K33" s="337"/>
    </row>
    <row r="34" spans="1:11" s="4" customFormat="1" ht="17.25" customHeight="1">
      <c r="A34" s="553"/>
      <c r="B34" s="590"/>
      <c r="C34" s="527" t="s">
        <v>12</v>
      </c>
      <c r="D34" s="11" t="s">
        <v>22</v>
      </c>
      <c r="E34" s="371">
        <v>15</v>
      </c>
      <c r="F34" s="372">
        <v>0</v>
      </c>
      <c r="G34" s="374">
        <v>0</v>
      </c>
      <c r="H34" s="374">
        <v>20</v>
      </c>
      <c r="I34" s="423">
        <f t="shared" si="0"/>
        <v>35</v>
      </c>
      <c r="J34" s="665"/>
      <c r="K34" s="337"/>
    </row>
    <row r="35" spans="1:11" s="4" customFormat="1" ht="17.25" customHeight="1">
      <c r="A35" s="553"/>
      <c r="B35" s="590"/>
      <c r="C35" s="590"/>
      <c r="D35" s="11" t="s">
        <v>23</v>
      </c>
      <c r="E35" s="371">
        <v>0</v>
      </c>
      <c r="F35" s="372">
        <v>1.5</v>
      </c>
      <c r="G35" s="374">
        <v>0</v>
      </c>
      <c r="H35" s="374">
        <v>0</v>
      </c>
      <c r="I35" s="423">
        <f t="shared" si="0"/>
        <v>1.5</v>
      </c>
      <c r="J35" s="665"/>
      <c r="K35" s="337"/>
    </row>
    <row r="36" spans="1:11" s="4" customFormat="1" ht="17.25" customHeight="1">
      <c r="A36" s="553"/>
      <c r="B36" s="590"/>
      <c r="C36" s="590"/>
      <c r="D36" s="11" t="s">
        <v>24</v>
      </c>
      <c r="E36" s="371">
        <v>1.04</v>
      </c>
      <c r="F36" s="372">
        <v>0</v>
      </c>
      <c r="G36" s="374">
        <v>0</v>
      </c>
      <c r="H36" s="374">
        <v>0</v>
      </c>
      <c r="I36" s="423">
        <f t="shared" si="0"/>
        <v>1.04</v>
      </c>
      <c r="J36" s="665"/>
      <c r="K36" s="337"/>
    </row>
    <row r="37" spans="1:11" s="4" customFormat="1" ht="17.25" customHeight="1">
      <c r="A37" s="553"/>
      <c r="B37" s="590"/>
      <c r="C37" s="590"/>
      <c r="D37" s="11" t="s">
        <v>818</v>
      </c>
      <c r="E37" s="371">
        <v>0</v>
      </c>
      <c r="F37" s="372">
        <v>2.5</v>
      </c>
      <c r="G37" s="374">
        <v>90</v>
      </c>
      <c r="H37" s="374">
        <v>0</v>
      </c>
      <c r="I37" s="423">
        <f t="shared" si="0"/>
        <v>92.5</v>
      </c>
      <c r="J37" s="665"/>
      <c r="K37" s="337"/>
    </row>
    <row r="38" spans="1:11" s="4" customFormat="1" ht="17.25" customHeight="1">
      <c r="A38" s="553"/>
      <c r="B38" s="590"/>
      <c r="C38" s="590"/>
      <c r="D38" s="11" t="s">
        <v>25</v>
      </c>
      <c r="E38" s="371">
        <v>7.4999999999999997E-2</v>
      </c>
      <c r="F38" s="372">
        <v>7.4999999999999997E-2</v>
      </c>
      <c r="G38" s="374">
        <v>7.4999999999999997E-2</v>
      </c>
      <c r="H38" s="374">
        <v>7.4999999999999997E-2</v>
      </c>
      <c r="I38" s="423">
        <f t="shared" si="0"/>
        <v>0.3</v>
      </c>
      <c r="J38" s="665"/>
      <c r="K38" s="337"/>
    </row>
    <row r="39" spans="1:11" s="4" customFormat="1" ht="17.25" customHeight="1">
      <c r="A39" s="513"/>
      <c r="B39" s="529"/>
      <c r="C39" s="529"/>
      <c r="D39" s="11" t="s">
        <v>11</v>
      </c>
      <c r="E39" s="371">
        <v>0</v>
      </c>
      <c r="F39" s="372">
        <v>0</v>
      </c>
      <c r="G39" s="374">
        <v>0</v>
      </c>
      <c r="H39" s="374">
        <v>0</v>
      </c>
      <c r="I39" s="423">
        <f t="shared" si="0"/>
        <v>0</v>
      </c>
      <c r="J39" s="666"/>
      <c r="K39" s="337"/>
    </row>
    <row r="40" spans="1:11" s="4" customFormat="1" ht="17.25" customHeight="1">
      <c r="A40" s="512">
        <v>6</v>
      </c>
      <c r="B40" s="527" t="s">
        <v>836</v>
      </c>
      <c r="C40" s="527" t="s">
        <v>7</v>
      </c>
      <c r="D40" s="5" t="s">
        <v>8</v>
      </c>
      <c r="E40" s="376"/>
      <c r="F40" s="376"/>
      <c r="G40" s="376"/>
      <c r="H40" s="41"/>
      <c r="I40" s="423"/>
      <c r="J40" s="418"/>
      <c r="K40" s="670" t="s">
        <v>810</v>
      </c>
    </row>
    <row r="41" spans="1:11" s="4" customFormat="1" ht="17.25" customHeight="1">
      <c r="A41" s="553"/>
      <c r="B41" s="590"/>
      <c r="C41" s="529"/>
      <c r="D41" s="5" t="s">
        <v>11</v>
      </c>
      <c r="E41" s="41"/>
      <c r="F41" s="376"/>
      <c r="G41" s="376"/>
      <c r="H41" s="41"/>
      <c r="I41" s="423"/>
      <c r="J41" s="418"/>
      <c r="K41" s="671"/>
    </row>
    <row r="42" spans="1:11" s="4" customFormat="1" ht="17.25" customHeight="1">
      <c r="A42" s="553"/>
      <c r="B42" s="590"/>
      <c r="C42" s="527" t="s">
        <v>12</v>
      </c>
      <c r="D42" s="5" t="s">
        <v>15</v>
      </c>
      <c r="E42" s="41"/>
      <c r="F42" s="376"/>
      <c r="G42" s="376"/>
      <c r="H42" s="41"/>
      <c r="I42" s="423"/>
      <c r="J42" s="418"/>
      <c r="K42" s="671"/>
    </row>
    <row r="43" spans="1:11" s="4" customFormat="1" ht="27" customHeight="1">
      <c r="A43" s="513"/>
      <c r="B43" s="529"/>
      <c r="C43" s="529"/>
      <c r="D43" s="5" t="s">
        <v>11</v>
      </c>
      <c r="E43" s="41"/>
      <c r="F43" s="376"/>
      <c r="G43" s="376"/>
      <c r="H43" s="41"/>
      <c r="I43" s="423"/>
      <c r="J43" s="418"/>
      <c r="K43" s="672"/>
    </row>
    <row r="44" spans="1:11" s="4" customFormat="1" ht="17.25" customHeight="1">
      <c r="A44" s="430">
        <v>7</v>
      </c>
      <c r="B44" s="431" t="s">
        <v>119</v>
      </c>
      <c r="C44" s="431" t="s">
        <v>7</v>
      </c>
      <c r="D44" s="378" t="s">
        <v>8</v>
      </c>
      <c r="E44" s="432">
        <v>1.5</v>
      </c>
      <c r="F44" s="381">
        <v>0</v>
      </c>
      <c r="G44" s="381">
        <v>0</v>
      </c>
      <c r="H44" s="383">
        <v>0</v>
      </c>
      <c r="I44" s="409">
        <f t="shared" ref="I44:I89" si="1">SUM(E44:H44)</f>
        <v>1.5</v>
      </c>
      <c r="J44" s="963" t="s">
        <v>810</v>
      </c>
      <c r="K44" s="967"/>
    </row>
    <row r="45" spans="1:11" s="4" customFormat="1" ht="17.25" customHeight="1">
      <c r="A45" s="433"/>
      <c r="B45" s="434"/>
      <c r="C45" s="435"/>
      <c r="D45" s="378" t="s">
        <v>11</v>
      </c>
      <c r="E45" s="379">
        <v>5</v>
      </c>
      <c r="F45" s="381">
        <v>0</v>
      </c>
      <c r="G45" s="381">
        <v>0</v>
      </c>
      <c r="H45" s="383">
        <v>0</v>
      </c>
      <c r="I45" s="409">
        <f t="shared" si="1"/>
        <v>5</v>
      </c>
      <c r="J45" s="965"/>
      <c r="K45" s="967"/>
    </row>
    <row r="46" spans="1:11" s="4" customFormat="1" ht="17.25" customHeight="1">
      <c r="A46" s="433"/>
      <c r="B46" s="434"/>
      <c r="C46" s="431" t="s">
        <v>12</v>
      </c>
      <c r="D46" s="378" t="s">
        <v>8</v>
      </c>
      <c r="E46" s="436">
        <v>0.15</v>
      </c>
      <c r="F46" s="385">
        <v>0.15</v>
      </c>
      <c r="G46" s="383">
        <v>0.15</v>
      </c>
      <c r="H46" s="379">
        <v>0.15</v>
      </c>
      <c r="I46" s="409">
        <f t="shared" si="1"/>
        <v>0.6</v>
      </c>
      <c r="J46" s="965"/>
      <c r="K46" s="967"/>
    </row>
    <row r="47" spans="1:11" s="4" customFormat="1" ht="17.25" customHeight="1">
      <c r="A47" s="437"/>
      <c r="B47" s="435"/>
      <c r="C47" s="435"/>
      <c r="D47" s="378" t="s">
        <v>11</v>
      </c>
      <c r="E47" s="436">
        <v>7.3</v>
      </c>
      <c r="F47" s="385">
        <v>7.3</v>
      </c>
      <c r="G47" s="383">
        <v>7.3</v>
      </c>
      <c r="H47" s="379">
        <v>7.3</v>
      </c>
      <c r="I47" s="409">
        <f t="shared" si="1"/>
        <v>29.2</v>
      </c>
      <c r="J47" s="966"/>
      <c r="K47" s="967"/>
    </row>
    <row r="48" spans="1:11" s="4" customFormat="1" ht="17.25" customHeight="1">
      <c r="A48" s="430">
        <v>8</v>
      </c>
      <c r="B48" s="431" t="s">
        <v>837</v>
      </c>
      <c r="C48" s="431" t="s">
        <v>7</v>
      </c>
      <c r="D48" s="378" t="s">
        <v>8</v>
      </c>
      <c r="E48" s="386">
        <v>0</v>
      </c>
      <c r="F48" s="381">
        <v>0</v>
      </c>
      <c r="G48" s="383">
        <v>0</v>
      </c>
      <c r="H48" s="383">
        <v>0</v>
      </c>
      <c r="I48" s="409">
        <f t="shared" si="1"/>
        <v>0</v>
      </c>
      <c r="J48" s="968">
        <v>0.71</v>
      </c>
      <c r="K48" s="968"/>
    </row>
    <row r="49" spans="1:11" s="4" customFormat="1" ht="17.25" customHeight="1">
      <c r="A49" s="433"/>
      <c r="B49" s="434"/>
      <c r="C49" s="435"/>
      <c r="D49" s="378" t="s">
        <v>11</v>
      </c>
      <c r="E49" s="386">
        <v>0</v>
      </c>
      <c r="F49" s="381">
        <v>0</v>
      </c>
      <c r="G49" s="383">
        <v>0</v>
      </c>
      <c r="H49" s="383">
        <v>0</v>
      </c>
      <c r="I49" s="409">
        <f t="shared" si="1"/>
        <v>0</v>
      </c>
      <c r="J49" s="968">
        <v>0</v>
      </c>
      <c r="K49" s="968"/>
    </row>
    <row r="50" spans="1:11" s="4" customFormat="1" ht="17.25" customHeight="1">
      <c r="A50" s="433"/>
      <c r="B50" s="434"/>
      <c r="C50" s="431" t="s">
        <v>12</v>
      </c>
      <c r="D50" s="378" t="s">
        <v>8</v>
      </c>
      <c r="E50" s="386">
        <v>3.2599999999999997E-2</v>
      </c>
      <c r="F50" s="385">
        <v>3.2599999999999997E-2</v>
      </c>
      <c r="G50" s="383">
        <v>3.2599999999999997E-2</v>
      </c>
      <c r="H50" s="386">
        <v>3.2599999999999997E-2</v>
      </c>
      <c r="I50" s="409">
        <f t="shared" si="1"/>
        <v>0.13039999999999999</v>
      </c>
      <c r="J50" s="968">
        <v>6.5000000000000002E-2</v>
      </c>
      <c r="K50" s="968"/>
    </row>
    <row r="51" spans="1:11" s="4" customFormat="1" ht="17.25" customHeight="1">
      <c r="A51" s="437"/>
      <c r="B51" s="435"/>
      <c r="C51" s="435"/>
      <c r="D51" s="378" t="s">
        <v>11</v>
      </c>
      <c r="E51" s="386">
        <v>1.9750000000000001</v>
      </c>
      <c r="F51" s="385">
        <v>1.9750000000000001</v>
      </c>
      <c r="G51" s="383">
        <v>1.9750000000000001</v>
      </c>
      <c r="H51" s="386">
        <v>1.9750000000000001</v>
      </c>
      <c r="I51" s="409">
        <f t="shared" si="1"/>
        <v>7.9</v>
      </c>
      <c r="J51" s="969"/>
      <c r="K51" s="967"/>
    </row>
    <row r="52" spans="1:11" s="4" customFormat="1" ht="17.25" customHeight="1">
      <c r="A52" s="430">
        <v>9</v>
      </c>
      <c r="B52" s="431" t="s">
        <v>838</v>
      </c>
      <c r="C52" s="431" t="s">
        <v>7</v>
      </c>
      <c r="D52" s="378" t="s">
        <v>8</v>
      </c>
      <c r="E52" s="388">
        <v>2.0899999999999998E-2</v>
      </c>
      <c r="F52" s="383">
        <v>2.0899999999999998E-2</v>
      </c>
      <c r="G52" s="383">
        <v>2.0899999999999998E-2</v>
      </c>
      <c r="H52" s="388">
        <v>2.0899999999999998E-2</v>
      </c>
      <c r="I52" s="409">
        <f t="shared" si="1"/>
        <v>8.3599999999999994E-2</v>
      </c>
      <c r="J52" s="963" t="s">
        <v>810</v>
      </c>
      <c r="K52" s="967"/>
    </row>
    <row r="53" spans="1:11" s="4" customFormat="1" ht="17.25" customHeight="1">
      <c r="A53" s="433"/>
      <c r="B53" s="434"/>
      <c r="C53" s="435"/>
      <c r="D53" s="378" t="s">
        <v>11</v>
      </c>
      <c r="E53" s="388">
        <v>0.105</v>
      </c>
      <c r="F53" s="383">
        <v>0.105</v>
      </c>
      <c r="G53" s="383">
        <v>0.105</v>
      </c>
      <c r="H53" s="388">
        <v>0.105</v>
      </c>
      <c r="I53" s="409">
        <f t="shared" si="1"/>
        <v>0.42</v>
      </c>
      <c r="J53" s="965"/>
      <c r="K53" s="967"/>
    </row>
    <row r="54" spans="1:11" s="4" customFormat="1" ht="17.25" customHeight="1">
      <c r="A54" s="433"/>
      <c r="B54" s="434"/>
      <c r="C54" s="431" t="s">
        <v>12</v>
      </c>
      <c r="D54" s="378" t="s">
        <v>8</v>
      </c>
      <c r="E54" s="388">
        <v>0.13</v>
      </c>
      <c r="F54" s="385">
        <v>0.13</v>
      </c>
      <c r="G54" s="383">
        <v>0.13</v>
      </c>
      <c r="H54" s="390">
        <v>0.13</v>
      </c>
      <c r="I54" s="409">
        <f t="shared" si="1"/>
        <v>0.52</v>
      </c>
      <c r="J54" s="965"/>
      <c r="K54" s="967"/>
    </row>
    <row r="55" spans="1:11" s="4" customFormat="1" ht="17.25" customHeight="1">
      <c r="A55" s="437"/>
      <c r="B55" s="435"/>
      <c r="C55" s="435"/>
      <c r="D55" s="378" t="s">
        <v>11</v>
      </c>
      <c r="E55" s="438">
        <v>8.1000000000000003E-2</v>
      </c>
      <c r="F55" s="385">
        <v>8.1000000000000003E-2</v>
      </c>
      <c r="G55" s="383">
        <v>8.1000000000000003E-2</v>
      </c>
      <c r="H55" s="388">
        <v>8.1000000000000003E-2</v>
      </c>
      <c r="I55" s="409">
        <f t="shared" si="1"/>
        <v>0.32400000000000001</v>
      </c>
      <c r="J55" s="966"/>
      <c r="K55" s="967"/>
    </row>
    <row r="56" spans="1:11" s="4" customFormat="1" ht="17.25" customHeight="1">
      <c r="A56" s="512">
        <v>10</v>
      </c>
      <c r="B56" s="527" t="s">
        <v>26</v>
      </c>
      <c r="C56" s="527" t="s">
        <v>7</v>
      </c>
      <c r="D56" s="5" t="s">
        <v>8</v>
      </c>
      <c r="E56" s="391">
        <v>5.92</v>
      </c>
      <c r="F56" s="393">
        <v>1.3</v>
      </c>
      <c r="G56" s="41">
        <v>0</v>
      </c>
      <c r="H56" s="41">
        <v>0</v>
      </c>
      <c r="I56" s="423">
        <f t="shared" si="1"/>
        <v>7.22</v>
      </c>
      <c r="J56" s="325">
        <v>6.99</v>
      </c>
      <c r="K56" s="337"/>
    </row>
    <row r="57" spans="1:11" s="4" customFormat="1" ht="17.25" customHeight="1">
      <c r="A57" s="553"/>
      <c r="B57" s="590"/>
      <c r="C57" s="529"/>
      <c r="D57" s="5" t="s">
        <v>11</v>
      </c>
      <c r="E57" s="394">
        <v>0</v>
      </c>
      <c r="F57" s="393">
        <v>10</v>
      </c>
      <c r="G57" s="41">
        <v>1</v>
      </c>
      <c r="H57" s="41">
        <v>0</v>
      </c>
      <c r="I57" s="423">
        <f t="shared" si="1"/>
        <v>11</v>
      </c>
      <c r="J57" s="124">
        <v>0</v>
      </c>
      <c r="K57" s="337"/>
    </row>
    <row r="58" spans="1:11" s="4" customFormat="1" ht="17.25" customHeight="1">
      <c r="A58" s="553"/>
      <c r="B58" s="590"/>
      <c r="C58" s="527" t="s">
        <v>12</v>
      </c>
      <c r="D58" s="5" t="s">
        <v>8</v>
      </c>
      <c r="E58" s="394">
        <v>2.19</v>
      </c>
      <c r="F58" s="394">
        <v>0</v>
      </c>
      <c r="G58" s="41">
        <v>0</v>
      </c>
      <c r="H58" s="41">
        <v>0</v>
      </c>
      <c r="I58" s="423">
        <f t="shared" si="1"/>
        <v>2.19</v>
      </c>
      <c r="J58" s="324">
        <v>7.1</v>
      </c>
      <c r="K58" s="337"/>
    </row>
    <row r="59" spans="1:11" s="4" customFormat="1" ht="17.25" customHeight="1">
      <c r="A59" s="547"/>
      <c r="B59" s="528"/>
      <c r="C59" s="528"/>
      <c r="D59" s="5" t="s">
        <v>11</v>
      </c>
      <c r="E59" s="396">
        <v>1.1000000000000001</v>
      </c>
      <c r="F59" s="394">
        <v>0.23</v>
      </c>
      <c r="G59" s="41">
        <v>0.74299999999999999</v>
      </c>
      <c r="H59" s="41">
        <v>0</v>
      </c>
      <c r="I59" s="423">
        <f t="shared" si="1"/>
        <v>2.073</v>
      </c>
      <c r="J59" s="124">
        <v>0</v>
      </c>
      <c r="K59" s="337"/>
    </row>
    <row r="60" spans="1:11" s="4" customFormat="1" ht="17.25" customHeight="1">
      <c r="A60" s="680">
        <v>11</v>
      </c>
      <c r="B60" s="680" t="s">
        <v>28</v>
      </c>
      <c r="C60" s="680" t="s">
        <v>138</v>
      </c>
      <c r="D60" s="10" t="s">
        <v>108</v>
      </c>
      <c r="E60" s="439">
        <v>188</v>
      </c>
      <c r="F60" s="397">
        <v>188</v>
      </c>
      <c r="G60" s="374">
        <v>0</v>
      </c>
      <c r="H60" s="41">
        <v>0</v>
      </c>
      <c r="I60" s="423">
        <f t="shared" si="1"/>
        <v>376</v>
      </c>
      <c r="J60" s="664" t="s">
        <v>810</v>
      </c>
      <c r="K60" s="337"/>
    </row>
    <row r="61" spans="1:11" s="4" customFormat="1" ht="17.25" customHeight="1">
      <c r="A61" s="681"/>
      <c r="B61" s="681"/>
      <c r="C61" s="681"/>
      <c r="D61" s="10" t="s">
        <v>109</v>
      </c>
      <c r="E61" s="440">
        <v>7.3</v>
      </c>
      <c r="F61" s="397">
        <v>7.3</v>
      </c>
      <c r="G61" s="374">
        <v>0</v>
      </c>
      <c r="H61" s="41">
        <v>0</v>
      </c>
      <c r="I61" s="423">
        <f t="shared" si="1"/>
        <v>14.6</v>
      </c>
      <c r="J61" s="665"/>
      <c r="K61" s="337"/>
    </row>
    <row r="62" spans="1:11" s="4" customFormat="1" ht="17.25" customHeight="1">
      <c r="A62" s="681"/>
      <c r="B62" s="681"/>
      <c r="C62" s="681"/>
      <c r="D62" s="10" t="s">
        <v>110</v>
      </c>
      <c r="E62" s="441">
        <v>5</v>
      </c>
      <c r="F62" s="397">
        <v>5</v>
      </c>
      <c r="G62" s="374">
        <v>0</v>
      </c>
      <c r="H62" s="41">
        <v>0</v>
      </c>
      <c r="I62" s="423">
        <f t="shared" si="1"/>
        <v>10</v>
      </c>
      <c r="J62" s="665"/>
      <c r="K62" s="337"/>
    </row>
    <row r="63" spans="1:11" s="4" customFormat="1" ht="17.25" customHeight="1">
      <c r="A63" s="681"/>
      <c r="B63" s="681"/>
      <c r="C63" s="681"/>
      <c r="D63" s="10" t="s">
        <v>111</v>
      </c>
      <c r="E63" s="439">
        <v>11.6</v>
      </c>
      <c r="F63" s="397">
        <v>11.6</v>
      </c>
      <c r="G63" s="374">
        <v>0</v>
      </c>
      <c r="H63" s="41">
        <v>0</v>
      </c>
      <c r="I63" s="423">
        <f t="shared" si="1"/>
        <v>23.2</v>
      </c>
      <c r="J63" s="665"/>
      <c r="K63" s="337"/>
    </row>
    <row r="64" spans="1:11" s="308" customFormat="1" ht="17.25" customHeight="1">
      <c r="A64" s="681"/>
      <c r="B64" s="681"/>
      <c r="C64" s="681"/>
      <c r="D64" s="10" t="s">
        <v>112</v>
      </c>
      <c r="E64" s="440">
        <v>5</v>
      </c>
      <c r="F64" s="397">
        <v>5</v>
      </c>
      <c r="G64" s="374">
        <v>0</v>
      </c>
      <c r="H64" s="398">
        <v>0</v>
      </c>
      <c r="I64" s="423">
        <f t="shared" si="1"/>
        <v>10</v>
      </c>
      <c r="J64" s="665"/>
      <c r="K64" s="426"/>
    </row>
    <row r="65" spans="1:11" s="308" customFormat="1" ht="17.25" customHeight="1">
      <c r="A65" s="681"/>
      <c r="B65" s="681"/>
      <c r="C65" s="681"/>
      <c r="D65" s="10" t="s">
        <v>113</v>
      </c>
      <c r="E65" s="439">
        <v>0</v>
      </c>
      <c r="F65" s="397">
        <v>4.4000000000000004</v>
      </c>
      <c r="G65" s="374">
        <v>0</v>
      </c>
      <c r="H65" s="398">
        <v>0</v>
      </c>
      <c r="I65" s="423">
        <f t="shared" si="1"/>
        <v>4.4000000000000004</v>
      </c>
      <c r="J65" s="665"/>
      <c r="K65" s="426"/>
    </row>
    <row r="66" spans="1:11" s="308" customFormat="1" ht="29.25" customHeight="1">
      <c r="A66" s="681"/>
      <c r="B66" s="681"/>
      <c r="C66" s="681"/>
      <c r="D66" s="10" t="s">
        <v>114</v>
      </c>
      <c r="E66" s="440">
        <v>65</v>
      </c>
      <c r="F66" s="397">
        <v>65</v>
      </c>
      <c r="G66" s="374">
        <v>0</v>
      </c>
      <c r="H66" s="398">
        <v>0</v>
      </c>
      <c r="I66" s="423">
        <f t="shared" si="1"/>
        <v>130</v>
      </c>
      <c r="J66" s="665"/>
      <c r="K66" s="426"/>
    </row>
    <row r="67" spans="1:11" s="308" customFormat="1" ht="17.25" customHeight="1">
      <c r="A67" s="681"/>
      <c r="B67" s="681"/>
      <c r="C67" s="681"/>
      <c r="D67" s="10" t="s">
        <v>115</v>
      </c>
      <c r="E67" s="439">
        <v>0.8</v>
      </c>
      <c r="F67" s="397">
        <v>0</v>
      </c>
      <c r="G67" s="374">
        <v>0</v>
      </c>
      <c r="H67" s="398">
        <v>0</v>
      </c>
      <c r="I67" s="423">
        <f t="shared" si="1"/>
        <v>0.8</v>
      </c>
      <c r="J67" s="665"/>
      <c r="K67" s="426"/>
    </row>
    <row r="68" spans="1:11" s="308" customFormat="1" ht="17.25" customHeight="1">
      <c r="A68" s="681"/>
      <c r="B68" s="681"/>
      <c r="C68" s="681"/>
      <c r="D68" s="10" t="s">
        <v>116</v>
      </c>
      <c r="E68" s="440">
        <v>75</v>
      </c>
      <c r="F68" s="397">
        <v>75</v>
      </c>
      <c r="G68" s="374">
        <v>0</v>
      </c>
      <c r="H68" s="398">
        <v>0</v>
      </c>
      <c r="I68" s="423">
        <f t="shared" si="1"/>
        <v>150</v>
      </c>
      <c r="J68" s="665"/>
      <c r="K68" s="426"/>
    </row>
    <row r="69" spans="1:11" s="308" customFormat="1" ht="16.5" customHeight="1">
      <c r="A69" s="681"/>
      <c r="B69" s="681"/>
      <c r="C69" s="689"/>
      <c r="D69" s="10" t="s">
        <v>117</v>
      </c>
      <c r="E69" s="439">
        <v>0</v>
      </c>
      <c r="F69" s="397">
        <v>48.6</v>
      </c>
      <c r="G69" s="374">
        <v>48.6</v>
      </c>
      <c r="H69" s="31">
        <v>0</v>
      </c>
      <c r="I69" s="423">
        <f t="shared" si="1"/>
        <v>97.2</v>
      </c>
      <c r="J69" s="665"/>
      <c r="K69" s="426"/>
    </row>
    <row r="70" spans="1:11" s="308" customFormat="1" ht="17.25" customHeight="1">
      <c r="A70" s="681"/>
      <c r="B70" s="681"/>
      <c r="C70" s="680" t="s">
        <v>127</v>
      </c>
      <c r="D70" s="10" t="s">
        <v>69</v>
      </c>
      <c r="E70" s="400">
        <v>1.75</v>
      </c>
      <c r="F70" s="398">
        <v>1.75</v>
      </c>
      <c r="G70" s="398">
        <v>1.75</v>
      </c>
      <c r="H70" s="31">
        <v>1.75</v>
      </c>
      <c r="I70" s="423">
        <f t="shared" si="1"/>
        <v>7</v>
      </c>
      <c r="J70" s="665"/>
      <c r="K70" s="426"/>
    </row>
    <row r="71" spans="1:11" s="308" customFormat="1" ht="17.25" customHeight="1">
      <c r="A71" s="681"/>
      <c r="B71" s="681"/>
      <c r="C71" s="681"/>
      <c r="D71" s="10" t="s">
        <v>104</v>
      </c>
      <c r="E71" s="401">
        <v>0</v>
      </c>
      <c r="F71" s="398"/>
      <c r="G71" s="398"/>
      <c r="H71" s="31">
        <v>0.3</v>
      </c>
      <c r="I71" s="423">
        <f t="shared" si="1"/>
        <v>0.3</v>
      </c>
      <c r="J71" s="665"/>
      <c r="K71" s="426"/>
    </row>
    <row r="72" spans="1:11" s="308" customFormat="1" ht="17.25" customHeight="1">
      <c r="A72" s="681"/>
      <c r="B72" s="681"/>
      <c r="C72" s="681"/>
      <c r="D72" s="10" t="s">
        <v>105</v>
      </c>
      <c r="E72" s="401">
        <v>0</v>
      </c>
      <c r="F72" s="398">
        <v>4.13</v>
      </c>
      <c r="G72" s="398">
        <v>4.13</v>
      </c>
      <c r="H72" s="31">
        <v>4.13</v>
      </c>
      <c r="I72" s="423">
        <f t="shared" si="1"/>
        <v>12.39</v>
      </c>
      <c r="J72" s="665"/>
      <c r="K72" s="426"/>
    </row>
    <row r="73" spans="1:11" s="308" customFormat="1" ht="34.5" customHeight="1">
      <c r="A73" s="681"/>
      <c r="B73" s="681"/>
      <c r="C73" s="681"/>
      <c r="D73" s="10" t="s">
        <v>106</v>
      </c>
      <c r="E73" s="401">
        <v>0</v>
      </c>
      <c r="F73" s="398">
        <v>0</v>
      </c>
      <c r="G73" s="402">
        <v>0.34200000000000003</v>
      </c>
      <c r="H73" s="31">
        <v>0.34200000000000003</v>
      </c>
      <c r="I73" s="423">
        <f t="shared" si="1"/>
        <v>0.68400000000000005</v>
      </c>
      <c r="J73" s="665"/>
      <c r="K73" s="426"/>
    </row>
    <row r="74" spans="1:11" s="308" customFormat="1" ht="17.25" customHeight="1">
      <c r="A74" s="689"/>
      <c r="B74" s="689"/>
      <c r="C74" s="689"/>
      <c r="D74" s="10" t="s">
        <v>107</v>
      </c>
      <c r="E74" s="372">
        <v>0</v>
      </c>
      <c r="F74" s="31">
        <v>0</v>
      </c>
      <c r="G74" s="31">
        <v>1.65</v>
      </c>
      <c r="H74" s="31">
        <v>1.65</v>
      </c>
      <c r="I74" s="423">
        <f t="shared" si="1"/>
        <v>3.3</v>
      </c>
      <c r="J74" s="666"/>
      <c r="K74" s="426"/>
    </row>
    <row r="75" spans="1:11" s="308" customFormat="1" ht="26.25" customHeight="1">
      <c r="A75" s="686">
        <v>12</v>
      </c>
      <c r="B75" s="686" t="s">
        <v>756</v>
      </c>
      <c r="C75" s="686" t="s">
        <v>138</v>
      </c>
      <c r="D75" s="403" t="s">
        <v>707</v>
      </c>
      <c r="E75" s="442">
        <v>50.19</v>
      </c>
      <c r="F75" s="350">
        <v>0</v>
      </c>
      <c r="G75" s="350">
        <v>0</v>
      </c>
      <c r="H75" s="404">
        <v>0</v>
      </c>
      <c r="I75" s="409">
        <f t="shared" si="1"/>
        <v>50.19</v>
      </c>
      <c r="J75" s="963" t="s">
        <v>810</v>
      </c>
      <c r="K75" s="964"/>
    </row>
    <row r="76" spans="1:11" s="308" customFormat="1" ht="26.25" customHeight="1">
      <c r="A76" s="687"/>
      <c r="B76" s="687"/>
      <c r="C76" s="688"/>
      <c r="D76" s="405" t="s">
        <v>709</v>
      </c>
      <c r="E76" s="442">
        <v>5.4</v>
      </c>
      <c r="F76" s="350">
        <v>1.92</v>
      </c>
      <c r="G76" s="350">
        <v>1.92</v>
      </c>
      <c r="H76" s="404">
        <v>1.92</v>
      </c>
      <c r="I76" s="409">
        <f t="shared" si="1"/>
        <v>11.16</v>
      </c>
      <c r="J76" s="965"/>
      <c r="K76" s="964"/>
    </row>
    <row r="77" spans="1:11" s="308" customFormat="1" ht="26.25" customHeight="1">
      <c r="A77" s="687"/>
      <c r="B77" s="687"/>
      <c r="C77" s="686" t="s">
        <v>127</v>
      </c>
      <c r="D77" s="406" t="s">
        <v>651</v>
      </c>
      <c r="E77" s="442">
        <v>2.1150000000000002</v>
      </c>
      <c r="F77" s="350">
        <v>2.1150000000000002</v>
      </c>
      <c r="G77" s="350">
        <v>2.1150000000000002</v>
      </c>
      <c r="H77" s="404">
        <v>2.1150000000000002</v>
      </c>
      <c r="I77" s="409">
        <f t="shared" si="1"/>
        <v>8.4600000000000009</v>
      </c>
      <c r="J77" s="965"/>
      <c r="K77" s="964"/>
    </row>
    <row r="78" spans="1:11" s="308" customFormat="1" ht="17.25" customHeight="1">
      <c r="A78" s="687"/>
      <c r="B78" s="687"/>
      <c r="C78" s="687"/>
      <c r="D78" s="406" t="s">
        <v>652</v>
      </c>
      <c r="E78" s="442">
        <v>1.44</v>
      </c>
      <c r="F78" s="350">
        <v>1.44</v>
      </c>
      <c r="G78" s="350">
        <v>1.44</v>
      </c>
      <c r="H78" s="404">
        <v>1.44</v>
      </c>
      <c r="I78" s="409">
        <f t="shared" si="1"/>
        <v>5.76</v>
      </c>
      <c r="J78" s="965"/>
      <c r="K78" s="964"/>
    </row>
    <row r="79" spans="1:11" s="308" customFormat="1" ht="17.25" customHeight="1">
      <c r="A79" s="687"/>
      <c r="B79" s="687"/>
      <c r="C79" s="687"/>
      <c r="D79" s="406" t="s">
        <v>653</v>
      </c>
      <c r="E79" s="442">
        <v>210.85</v>
      </c>
      <c r="F79" s="350"/>
      <c r="G79" s="350"/>
      <c r="H79" s="404"/>
      <c r="I79" s="409">
        <f t="shared" si="1"/>
        <v>210.85</v>
      </c>
      <c r="J79" s="965"/>
      <c r="K79" s="964"/>
    </row>
    <row r="80" spans="1:11" s="308" customFormat="1" ht="16.5" customHeight="1">
      <c r="A80" s="687"/>
      <c r="B80" s="687"/>
      <c r="C80" s="687"/>
      <c r="D80" s="406" t="s">
        <v>654</v>
      </c>
      <c r="E80" s="442">
        <v>2.8</v>
      </c>
      <c r="F80" s="350">
        <v>2.8</v>
      </c>
      <c r="G80" s="350">
        <v>0.3</v>
      </c>
      <c r="H80" s="404">
        <v>0.3</v>
      </c>
      <c r="I80" s="409">
        <f t="shared" si="1"/>
        <v>6.1999999999999993</v>
      </c>
      <c r="J80" s="965"/>
      <c r="K80" s="964"/>
    </row>
    <row r="81" spans="1:11" s="308" customFormat="1" ht="17.25" customHeight="1">
      <c r="A81" s="687"/>
      <c r="B81" s="687"/>
      <c r="C81" s="687"/>
      <c r="D81" s="406" t="s">
        <v>655</v>
      </c>
      <c r="E81" s="442">
        <v>3.71</v>
      </c>
      <c r="F81" s="350">
        <v>7.09</v>
      </c>
      <c r="G81" s="350">
        <v>7.09</v>
      </c>
      <c r="H81" s="404">
        <v>7.09</v>
      </c>
      <c r="I81" s="409">
        <f t="shared" si="1"/>
        <v>24.98</v>
      </c>
      <c r="J81" s="965"/>
      <c r="K81" s="964"/>
    </row>
    <row r="82" spans="1:11" s="308" customFormat="1" ht="25.5" customHeight="1">
      <c r="A82" s="687"/>
      <c r="B82" s="687"/>
      <c r="C82" s="687"/>
      <c r="D82" s="465" t="s">
        <v>656</v>
      </c>
      <c r="E82" s="442">
        <v>7.125</v>
      </c>
      <c r="F82" s="350">
        <v>7.125</v>
      </c>
      <c r="G82" s="350">
        <v>0</v>
      </c>
      <c r="H82" s="404">
        <v>0</v>
      </c>
      <c r="I82" s="409">
        <f t="shared" si="1"/>
        <v>14.25</v>
      </c>
      <c r="J82" s="965"/>
      <c r="K82" s="964"/>
    </row>
    <row r="83" spans="1:11" s="308" customFormat="1" ht="17.25" customHeight="1">
      <c r="A83" s="687"/>
      <c r="B83" s="687"/>
      <c r="C83" s="687"/>
      <c r="D83" s="465" t="s">
        <v>657</v>
      </c>
      <c r="E83" s="442">
        <v>5.7</v>
      </c>
      <c r="F83" s="350">
        <v>0</v>
      </c>
      <c r="G83" s="350">
        <v>0</v>
      </c>
      <c r="H83" s="404">
        <v>0</v>
      </c>
      <c r="I83" s="409">
        <f t="shared" si="1"/>
        <v>5.7</v>
      </c>
      <c r="J83" s="965"/>
      <c r="K83" s="964"/>
    </row>
    <row r="84" spans="1:11" s="308" customFormat="1" ht="15.75" customHeight="1">
      <c r="A84" s="687"/>
      <c r="B84" s="687"/>
      <c r="C84" s="687"/>
      <c r="D84" s="465" t="s">
        <v>701</v>
      </c>
      <c r="E84" s="442">
        <v>10</v>
      </c>
      <c r="F84" s="350">
        <v>0</v>
      </c>
      <c r="G84" s="350">
        <v>0</v>
      </c>
      <c r="H84" s="404">
        <v>0</v>
      </c>
      <c r="I84" s="409">
        <f t="shared" si="1"/>
        <v>10</v>
      </c>
      <c r="J84" s="965"/>
      <c r="K84" s="964"/>
    </row>
    <row r="85" spans="1:11" s="308" customFormat="1" ht="17.25" customHeight="1">
      <c r="A85" s="688"/>
      <c r="B85" s="688"/>
      <c r="C85" s="688"/>
      <c r="D85" s="465" t="s">
        <v>703</v>
      </c>
      <c r="E85" s="442">
        <v>4</v>
      </c>
      <c r="F85" s="350">
        <v>0</v>
      </c>
      <c r="G85" s="350">
        <v>0</v>
      </c>
      <c r="H85" s="350">
        <v>0</v>
      </c>
      <c r="I85" s="409">
        <f t="shared" si="1"/>
        <v>4</v>
      </c>
      <c r="J85" s="966"/>
      <c r="K85" s="964"/>
    </row>
    <row r="86" spans="1:11" s="308" customFormat="1" ht="17.25" customHeight="1">
      <c r="A86" s="683">
        <v>13</v>
      </c>
      <c r="B86" s="680" t="s">
        <v>27</v>
      </c>
      <c r="C86" s="463" t="s">
        <v>138</v>
      </c>
      <c r="D86" s="351" t="s">
        <v>139</v>
      </c>
      <c r="E86" s="464">
        <v>0.2</v>
      </c>
      <c r="F86" s="48">
        <v>0.2</v>
      </c>
      <c r="G86" s="48">
        <v>5.2</v>
      </c>
      <c r="H86" s="48">
        <v>0.2</v>
      </c>
      <c r="I86" s="423">
        <f t="shared" si="1"/>
        <v>5.8000000000000007</v>
      </c>
      <c r="J86" s="664" t="s">
        <v>810</v>
      </c>
      <c r="K86" s="426"/>
    </row>
    <row r="87" spans="1:11" s="308" customFormat="1" ht="17.25" customHeight="1">
      <c r="A87" s="684"/>
      <c r="B87" s="681"/>
      <c r="C87" s="463"/>
      <c r="D87" s="351" t="s">
        <v>77</v>
      </c>
      <c r="E87" s="464">
        <v>0.1</v>
      </c>
      <c r="F87" s="48">
        <v>0.1</v>
      </c>
      <c r="G87" s="48">
        <v>0.1</v>
      </c>
      <c r="H87" s="48">
        <v>25.1</v>
      </c>
      <c r="I87" s="423">
        <f t="shared" si="1"/>
        <v>25.400000000000002</v>
      </c>
      <c r="J87" s="665"/>
      <c r="K87" s="426"/>
    </row>
    <row r="88" spans="1:11" s="308" customFormat="1" ht="17.25" customHeight="1">
      <c r="A88" s="684"/>
      <c r="B88" s="681"/>
      <c r="C88" s="463" t="s">
        <v>127</v>
      </c>
      <c r="D88" s="351" t="s">
        <v>139</v>
      </c>
      <c r="E88" s="464">
        <v>0.5</v>
      </c>
      <c r="F88" s="48">
        <v>0.5</v>
      </c>
      <c r="G88" s="48">
        <v>0.5</v>
      </c>
      <c r="H88" s="48">
        <v>0.5</v>
      </c>
      <c r="I88" s="423">
        <f t="shared" si="1"/>
        <v>2</v>
      </c>
      <c r="J88" s="665"/>
      <c r="K88" s="426"/>
    </row>
    <row r="89" spans="1:11" s="308" customFormat="1" ht="17.25" customHeight="1">
      <c r="A89" s="685"/>
      <c r="B89" s="682"/>
      <c r="C89" s="463"/>
      <c r="D89" s="351" t="s">
        <v>77</v>
      </c>
      <c r="E89" s="464">
        <v>0.52</v>
      </c>
      <c r="F89" s="48">
        <v>0.52</v>
      </c>
      <c r="G89" s="48">
        <v>1.52</v>
      </c>
      <c r="H89" s="48">
        <v>0.52</v>
      </c>
      <c r="I89" s="423">
        <f t="shared" si="1"/>
        <v>3.08</v>
      </c>
      <c r="J89" s="666"/>
      <c r="K89" s="426"/>
    </row>
    <row r="90" spans="1:11" s="4" customFormat="1" ht="17.25" customHeight="1">
      <c r="A90" s="512">
        <v>14</v>
      </c>
      <c r="B90" s="527" t="s">
        <v>29</v>
      </c>
      <c r="C90" s="636" t="s">
        <v>7</v>
      </c>
      <c r="D90" s="9" t="s">
        <v>30</v>
      </c>
      <c r="E90" s="443"/>
      <c r="F90" s="130"/>
      <c r="G90" s="130"/>
      <c r="H90" s="130"/>
      <c r="I90" s="444"/>
      <c r="J90" s="418"/>
      <c r="K90" s="673" t="s">
        <v>757</v>
      </c>
    </row>
    <row r="91" spans="1:11" s="4" customFormat="1" ht="17.25" customHeight="1">
      <c r="A91" s="553"/>
      <c r="B91" s="590"/>
      <c r="C91" s="529"/>
      <c r="D91" s="7" t="s">
        <v>11</v>
      </c>
      <c r="E91" s="376"/>
      <c r="F91" s="360"/>
      <c r="G91" s="360"/>
      <c r="H91" s="360"/>
      <c r="I91" s="423"/>
      <c r="J91" s="418"/>
      <c r="K91" s="674"/>
    </row>
    <row r="92" spans="1:11" s="4" customFormat="1" ht="17.25" customHeight="1">
      <c r="A92" s="553"/>
      <c r="B92" s="590"/>
      <c r="C92" s="678" t="s">
        <v>12</v>
      </c>
      <c r="D92" s="10" t="s">
        <v>31</v>
      </c>
      <c r="E92" s="445"/>
      <c r="F92" s="41"/>
      <c r="G92" s="41"/>
      <c r="H92" s="41"/>
      <c r="I92" s="423"/>
      <c r="J92" s="418"/>
      <c r="K92" s="674"/>
    </row>
    <row r="93" spans="1:11" s="4" customFormat="1" ht="17.25" customHeight="1">
      <c r="A93" s="513"/>
      <c r="B93" s="529"/>
      <c r="C93" s="679"/>
      <c r="D93" s="3" t="s">
        <v>11</v>
      </c>
      <c r="E93" s="41"/>
      <c r="F93" s="41"/>
      <c r="G93" s="41"/>
      <c r="H93" s="41"/>
      <c r="I93" s="423"/>
      <c r="J93" s="418"/>
      <c r="K93" s="675"/>
    </row>
    <row r="94" spans="1:11" s="4" customFormat="1" ht="17.25" customHeight="1">
      <c r="A94" s="512">
        <v>15</v>
      </c>
      <c r="B94" s="527" t="s">
        <v>32</v>
      </c>
      <c r="C94" s="346" t="s">
        <v>7</v>
      </c>
      <c r="D94" s="347"/>
      <c r="E94" s="41"/>
      <c r="F94" s="41"/>
      <c r="G94" s="41"/>
      <c r="H94" s="41"/>
      <c r="I94" s="423"/>
      <c r="J94" s="418"/>
      <c r="K94" s="661" t="s">
        <v>810</v>
      </c>
    </row>
    <row r="95" spans="1:11" s="4" customFormat="1" ht="17.25" customHeight="1">
      <c r="A95" s="513"/>
      <c r="B95" s="529"/>
      <c r="C95" s="346" t="s">
        <v>12</v>
      </c>
      <c r="D95" s="347"/>
      <c r="E95" s="41"/>
      <c r="F95" s="41"/>
      <c r="G95" s="41"/>
      <c r="H95" s="41"/>
      <c r="I95" s="423"/>
      <c r="J95" s="418"/>
      <c r="K95" s="662"/>
    </row>
    <row r="96" spans="1:11" s="4" customFormat="1" ht="24.75" customHeight="1">
      <c r="A96" s="512">
        <v>16</v>
      </c>
      <c r="B96" s="527" t="s">
        <v>820</v>
      </c>
      <c r="C96" s="346" t="s">
        <v>7</v>
      </c>
      <c r="D96" s="347"/>
      <c r="E96" s="41"/>
      <c r="F96" s="41"/>
      <c r="G96" s="41"/>
      <c r="H96" s="41"/>
      <c r="I96" s="423"/>
      <c r="J96" s="418"/>
      <c r="K96" s="662"/>
    </row>
    <row r="97" spans="1:11" s="4" customFormat="1" ht="22.5" customHeight="1">
      <c r="A97" s="513"/>
      <c r="B97" s="529"/>
      <c r="C97" s="346" t="s">
        <v>12</v>
      </c>
      <c r="D97" s="347"/>
      <c r="E97" s="41"/>
      <c r="F97" s="41"/>
      <c r="G97" s="41"/>
      <c r="H97" s="41"/>
      <c r="I97" s="423"/>
      <c r="J97" s="418"/>
      <c r="K97" s="663"/>
    </row>
    <row r="98" spans="1:11" s="4" customFormat="1" ht="15.75" customHeight="1">
      <c r="A98" s="512">
        <v>17</v>
      </c>
      <c r="B98" s="527" t="s">
        <v>33</v>
      </c>
      <c r="C98" s="346" t="s">
        <v>7</v>
      </c>
      <c r="D98" s="347"/>
      <c r="E98" s="41"/>
      <c r="F98" s="41"/>
      <c r="G98" s="41"/>
      <c r="H98" s="41"/>
      <c r="I98" s="423"/>
      <c r="J98" s="418"/>
      <c r="K98" s="661" t="s">
        <v>810</v>
      </c>
    </row>
    <row r="99" spans="1:11" s="4" customFormat="1" ht="15.75">
      <c r="A99" s="513"/>
      <c r="B99" s="529"/>
      <c r="C99" s="346" t="s">
        <v>12</v>
      </c>
      <c r="D99" s="347"/>
      <c r="E99" s="41"/>
      <c r="F99" s="41"/>
      <c r="G99" s="41"/>
      <c r="H99" s="41"/>
      <c r="I99" s="423"/>
      <c r="J99" s="418"/>
      <c r="K99" s="663"/>
    </row>
    <row r="100" spans="1:11" s="4" customFormat="1" ht="17.25" customHeight="1">
      <c r="A100" s="430">
        <v>18</v>
      </c>
      <c r="B100" s="431" t="s">
        <v>839</v>
      </c>
      <c r="C100" s="447" t="s">
        <v>7</v>
      </c>
      <c r="D100" s="448"/>
      <c r="E100" s="383">
        <v>1</v>
      </c>
      <c r="F100" s="383">
        <v>0</v>
      </c>
      <c r="G100" s="383">
        <v>0</v>
      </c>
      <c r="H100" s="383">
        <v>0</v>
      </c>
      <c r="I100" s="409">
        <f t="shared" ref="I100:I105" si="2">SUM(E100:H100)</f>
        <v>1</v>
      </c>
      <c r="J100" s="661" t="s">
        <v>810</v>
      </c>
      <c r="K100" s="446"/>
    </row>
    <row r="101" spans="1:11" s="4" customFormat="1" ht="17.25" customHeight="1">
      <c r="A101" s="437"/>
      <c r="B101" s="435"/>
      <c r="C101" s="447" t="s">
        <v>12</v>
      </c>
      <c r="D101" s="448"/>
      <c r="E101" s="383">
        <v>0.7</v>
      </c>
      <c r="F101" s="383">
        <v>0.7</v>
      </c>
      <c r="G101" s="383">
        <v>0.7</v>
      </c>
      <c r="H101" s="383">
        <v>0.7</v>
      </c>
      <c r="I101" s="409">
        <f t="shared" si="2"/>
        <v>2.8</v>
      </c>
      <c r="J101" s="663"/>
      <c r="K101" s="446"/>
    </row>
    <row r="102" spans="1:11" s="4" customFormat="1" ht="15.75">
      <c r="A102" s="677">
        <v>19</v>
      </c>
      <c r="B102" s="676" t="s">
        <v>34</v>
      </c>
      <c r="C102" s="527" t="s">
        <v>7</v>
      </c>
      <c r="D102" s="5" t="s">
        <v>8</v>
      </c>
      <c r="E102" s="41">
        <v>0.93</v>
      </c>
      <c r="F102" s="41">
        <v>0</v>
      </c>
      <c r="G102" s="41">
        <v>0</v>
      </c>
      <c r="H102" s="41">
        <v>0</v>
      </c>
      <c r="I102" s="423">
        <f t="shared" si="2"/>
        <v>0.93</v>
      </c>
      <c r="J102" s="661" t="s">
        <v>810</v>
      </c>
      <c r="K102" s="449"/>
    </row>
    <row r="103" spans="1:11" s="4" customFormat="1" ht="15.75">
      <c r="A103" s="531"/>
      <c r="B103" s="534"/>
      <c r="C103" s="529"/>
      <c r="D103" s="5" t="s">
        <v>11</v>
      </c>
      <c r="E103" s="41">
        <v>0</v>
      </c>
      <c r="F103" s="41">
        <v>0</v>
      </c>
      <c r="G103" s="41">
        <v>0</v>
      </c>
      <c r="H103" s="41">
        <v>0</v>
      </c>
      <c r="I103" s="423">
        <f t="shared" si="2"/>
        <v>0</v>
      </c>
      <c r="J103" s="662"/>
      <c r="K103" s="449"/>
    </row>
    <row r="104" spans="1:11" s="4" customFormat="1" ht="15.75">
      <c r="A104" s="531"/>
      <c r="B104" s="534"/>
      <c r="C104" s="527" t="s">
        <v>12</v>
      </c>
      <c r="D104" s="5" t="s">
        <v>8</v>
      </c>
      <c r="E104" s="41">
        <v>9.65</v>
      </c>
      <c r="F104" s="41">
        <v>0</v>
      </c>
      <c r="G104" s="41">
        <v>3.05</v>
      </c>
      <c r="H104" s="41">
        <v>0</v>
      </c>
      <c r="I104" s="423">
        <f t="shared" si="2"/>
        <v>12.7</v>
      </c>
      <c r="J104" s="662"/>
      <c r="K104" s="449"/>
    </row>
    <row r="105" spans="1:11" s="4" customFormat="1" ht="15.75">
      <c r="A105" s="532"/>
      <c r="B105" s="535"/>
      <c r="C105" s="529"/>
      <c r="D105" s="5" t="s">
        <v>11</v>
      </c>
      <c r="E105" s="41">
        <v>0</v>
      </c>
      <c r="F105" s="41">
        <v>0</v>
      </c>
      <c r="G105" s="41">
        <v>0</v>
      </c>
      <c r="H105" s="41">
        <v>0</v>
      </c>
      <c r="I105" s="423">
        <f t="shared" si="2"/>
        <v>0</v>
      </c>
      <c r="J105" s="663"/>
      <c r="K105" s="449"/>
    </row>
    <row r="106" spans="1:11" s="4" customFormat="1" ht="15.75">
      <c r="A106" s="512">
        <v>20</v>
      </c>
      <c r="B106" s="527" t="s">
        <v>35</v>
      </c>
      <c r="C106" s="346" t="s">
        <v>7</v>
      </c>
      <c r="D106" s="347"/>
      <c r="E106" s="41"/>
      <c r="F106" s="41"/>
      <c r="G106" s="41"/>
      <c r="H106" s="41"/>
      <c r="I106" s="423"/>
      <c r="J106" s="418"/>
      <c r="K106" s="661" t="s">
        <v>810</v>
      </c>
    </row>
    <row r="107" spans="1:11" s="4" customFormat="1" ht="15.75">
      <c r="A107" s="513"/>
      <c r="B107" s="529"/>
      <c r="C107" s="346" t="s">
        <v>12</v>
      </c>
      <c r="D107" s="347"/>
      <c r="E107" s="41"/>
      <c r="F107" s="41"/>
      <c r="G107" s="41"/>
      <c r="H107" s="41"/>
      <c r="I107" s="423"/>
      <c r="J107" s="418"/>
      <c r="K107" s="663"/>
    </row>
    <row r="108" spans="1:11" s="4" customFormat="1" ht="15.75" customHeight="1">
      <c r="A108" s="512">
        <v>21</v>
      </c>
      <c r="B108" s="527" t="s">
        <v>36</v>
      </c>
      <c r="C108" s="346" t="s">
        <v>7</v>
      </c>
      <c r="D108" s="347"/>
      <c r="E108" s="41">
        <v>5</v>
      </c>
      <c r="F108" s="41">
        <v>5</v>
      </c>
      <c r="G108" s="41">
        <v>5</v>
      </c>
      <c r="H108" s="41">
        <v>5</v>
      </c>
      <c r="I108" s="423">
        <f>SUM(E108:H108)</f>
        <v>20</v>
      </c>
      <c r="J108" s="661" t="s">
        <v>810</v>
      </c>
      <c r="K108" s="450"/>
    </row>
    <row r="109" spans="1:11" s="4" customFormat="1" ht="15.75">
      <c r="A109" s="513"/>
      <c r="B109" s="529"/>
      <c r="C109" s="346" t="s">
        <v>12</v>
      </c>
      <c r="D109" s="347"/>
      <c r="E109" s="41">
        <v>10</v>
      </c>
      <c r="F109" s="41">
        <v>10</v>
      </c>
      <c r="G109" s="41">
        <v>15</v>
      </c>
      <c r="H109" s="41">
        <v>15</v>
      </c>
      <c r="I109" s="423">
        <f>SUM(E109:H109)</f>
        <v>50</v>
      </c>
      <c r="J109" s="662"/>
      <c r="K109" s="449"/>
    </row>
    <row r="110" spans="1:11" s="4" customFormat="1" ht="15.75">
      <c r="A110" s="527">
        <v>22</v>
      </c>
      <c r="B110" s="527" t="s">
        <v>37</v>
      </c>
      <c r="C110" s="346" t="s">
        <v>7</v>
      </c>
      <c r="D110" s="347"/>
      <c r="E110" s="41">
        <v>3.14</v>
      </c>
      <c r="F110" s="41">
        <v>1.46</v>
      </c>
      <c r="G110" s="41">
        <v>0.35</v>
      </c>
      <c r="H110" s="41">
        <v>2.15</v>
      </c>
      <c r="I110" s="423">
        <f>SUM(E110:H110)</f>
        <v>7.1</v>
      </c>
      <c r="J110" s="662"/>
      <c r="K110" s="450"/>
    </row>
    <row r="111" spans="1:11" s="4" customFormat="1" ht="15.75">
      <c r="A111" s="529"/>
      <c r="B111" s="529"/>
      <c r="C111" s="346" t="s">
        <v>12</v>
      </c>
      <c r="D111" s="347"/>
      <c r="E111" s="41">
        <v>1.35</v>
      </c>
      <c r="F111" s="41">
        <v>1.35</v>
      </c>
      <c r="G111" s="41">
        <v>1.35</v>
      </c>
      <c r="H111" s="41">
        <v>1.35</v>
      </c>
      <c r="I111" s="423">
        <f>SUM(E111:H111)</f>
        <v>5.4</v>
      </c>
      <c r="J111" s="663"/>
      <c r="K111" s="449"/>
    </row>
    <row r="112" spans="1:11" s="4" customFormat="1" ht="15.75">
      <c r="A112" s="527">
        <v>23</v>
      </c>
      <c r="B112" s="527" t="s">
        <v>38</v>
      </c>
      <c r="C112" s="346" t="s">
        <v>7</v>
      </c>
      <c r="D112" s="347"/>
      <c r="E112" s="41"/>
      <c r="F112" s="41"/>
      <c r="G112" s="41"/>
      <c r="H112" s="41"/>
      <c r="I112" s="423"/>
      <c r="J112" s="418"/>
      <c r="K112" s="661" t="s">
        <v>810</v>
      </c>
    </row>
    <row r="113" spans="1:11" s="4" customFormat="1" ht="15.75">
      <c r="A113" s="529"/>
      <c r="B113" s="529"/>
      <c r="C113" s="346" t="s">
        <v>12</v>
      </c>
      <c r="D113" s="347"/>
      <c r="E113" s="41"/>
      <c r="F113" s="41"/>
      <c r="G113" s="41"/>
      <c r="H113" s="41"/>
      <c r="I113" s="423"/>
      <c r="J113" s="418"/>
      <c r="K113" s="663"/>
    </row>
    <row r="114" spans="1:11" s="4" customFormat="1" ht="15.75">
      <c r="A114" s="527">
        <v>24</v>
      </c>
      <c r="B114" s="527" t="s">
        <v>39</v>
      </c>
      <c r="C114" s="346" t="s">
        <v>7</v>
      </c>
      <c r="D114" s="347"/>
      <c r="E114" s="41"/>
      <c r="F114" s="41"/>
      <c r="G114" s="41"/>
      <c r="H114" s="41"/>
      <c r="I114" s="423"/>
      <c r="J114" s="418"/>
      <c r="K114" s="661" t="s">
        <v>810</v>
      </c>
    </row>
    <row r="115" spans="1:11" s="4" customFormat="1" ht="15.75">
      <c r="A115" s="529"/>
      <c r="B115" s="529"/>
      <c r="C115" s="346" t="s">
        <v>12</v>
      </c>
      <c r="D115" s="347"/>
      <c r="E115" s="41"/>
      <c r="F115" s="41"/>
      <c r="G115" s="41"/>
      <c r="H115" s="41"/>
      <c r="I115" s="423"/>
      <c r="J115" s="418"/>
      <c r="K115" s="663"/>
    </row>
    <row r="116" spans="1:11" s="4" customFormat="1" ht="15.75" customHeight="1">
      <c r="A116" s="527">
        <v>25</v>
      </c>
      <c r="B116" s="527" t="s">
        <v>40</v>
      </c>
      <c r="C116" s="346" t="s">
        <v>7</v>
      </c>
      <c r="D116" s="347"/>
      <c r="E116" s="41">
        <v>0</v>
      </c>
      <c r="F116" s="41">
        <v>0</v>
      </c>
      <c r="G116" s="41">
        <v>0</v>
      </c>
      <c r="H116" s="41">
        <v>0</v>
      </c>
      <c r="I116" s="423">
        <f>SUM(E116:H116)</f>
        <v>0</v>
      </c>
      <c r="J116" s="661" t="s">
        <v>810</v>
      </c>
      <c r="K116" s="450"/>
    </row>
    <row r="117" spans="1:11" s="4" customFormat="1" ht="15.75">
      <c r="A117" s="529"/>
      <c r="B117" s="529"/>
      <c r="C117" s="346" t="s">
        <v>12</v>
      </c>
      <c r="D117" s="347"/>
      <c r="E117" s="41">
        <v>1.4</v>
      </c>
      <c r="F117" s="41">
        <v>1.4</v>
      </c>
      <c r="G117" s="41">
        <v>1.4</v>
      </c>
      <c r="H117" s="41">
        <v>1.4</v>
      </c>
      <c r="I117" s="423">
        <f>SUM(E117:H117)</f>
        <v>5.6</v>
      </c>
      <c r="J117" s="663"/>
      <c r="K117" s="449"/>
    </row>
    <row r="118" spans="1:11" s="4" customFormat="1" ht="15.75">
      <c r="A118" s="527">
        <v>26</v>
      </c>
      <c r="B118" s="527" t="s">
        <v>840</v>
      </c>
      <c r="C118" s="346" t="s">
        <v>7</v>
      </c>
      <c r="D118" s="347"/>
      <c r="E118" s="41">
        <v>0.67</v>
      </c>
      <c r="F118" s="412">
        <v>0.67</v>
      </c>
      <c r="G118" s="398">
        <v>0.67</v>
      </c>
      <c r="H118" s="412">
        <v>0.67</v>
      </c>
      <c r="I118" s="423">
        <f>SUM(E118:H118)</f>
        <v>2.68</v>
      </c>
      <c r="J118" s="31">
        <v>2.5</v>
      </c>
      <c r="K118" s="450"/>
    </row>
    <row r="119" spans="1:11" s="4" customFormat="1" ht="15.75">
      <c r="A119" s="529"/>
      <c r="B119" s="529"/>
      <c r="C119" s="346" t="s">
        <v>12</v>
      </c>
      <c r="D119" s="347"/>
      <c r="E119" s="41">
        <v>0.15</v>
      </c>
      <c r="F119" s="41">
        <v>0.15</v>
      </c>
      <c r="G119" s="130">
        <v>0.15</v>
      </c>
      <c r="H119" s="375">
        <v>0.15</v>
      </c>
      <c r="I119" s="423">
        <f>SUM(E119:H119)</f>
        <v>0.6</v>
      </c>
      <c r="J119" s="31">
        <v>0.27</v>
      </c>
      <c r="K119" s="449"/>
    </row>
    <row r="120" spans="1:11" s="4" customFormat="1" ht="15.75">
      <c r="A120" s="527">
        <v>27</v>
      </c>
      <c r="B120" s="527" t="s">
        <v>41</v>
      </c>
      <c r="C120" s="451" t="s">
        <v>7</v>
      </c>
      <c r="D120" s="347"/>
      <c r="E120" s="41"/>
      <c r="F120" s="41"/>
      <c r="G120" s="360"/>
      <c r="H120" s="41"/>
      <c r="I120" s="423"/>
      <c r="J120" s="418"/>
      <c r="K120" s="661" t="s">
        <v>810</v>
      </c>
    </row>
    <row r="121" spans="1:11" s="4" customFormat="1" ht="15.75">
      <c r="A121" s="529"/>
      <c r="B121" s="529"/>
      <c r="C121" s="451" t="s">
        <v>12</v>
      </c>
      <c r="D121" s="347"/>
      <c r="E121" s="452"/>
      <c r="F121" s="41"/>
      <c r="G121" s="41"/>
      <c r="H121" s="41"/>
      <c r="I121" s="423"/>
      <c r="J121" s="418"/>
      <c r="K121" s="663"/>
    </row>
    <row r="122" spans="1:11" s="4" customFormat="1" ht="15.75">
      <c r="A122" s="15">
        <v>28</v>
      </c>
      <c r="B122" s="453" t="s">
        <v>821</v>
      </c>
      <c r="C122" s="454"/>
      <c r="D122" s="455"/>
      <c r="E122" s="326"/>
      <c r="F122" s="326"/>
      <c r="G122" s="326"/>
      <c r="H122" s="326"/>
      <c r="I122" s="423"/>
      <c r="J122" s="418"/>
      <c r="K122" s="456"/>
    </row>
    <row r="123" spans="1:11" s="4" customFormat="1" ht="15.75">
      <c r="A123" s="15">
        <v>29</v>
      </c>
      <c r="B123" s="453" t="s">
        <v>822</v>
      </c>
      <c r="C123" s="454"/>
      <c r="D123" s="455"/>
      <c r="E123" s="326"/>
      <c r="F123" s="326"/>
      <c r="G123" s="326"/>
      <c r="H123" s="326"/>
      <c r="I123" s="423"/>
      <c r="J123" s="418"/>
      <c r="K123" s="456"/>
    </row>
    <row r="124" spans="1:11" s="4" customFormat="1" ht="15.75">
      <c r="A124" s="15">
        <v>30</v>
      </c>
      <c r="B124" s="453" t="s">
        <v>823</v>
      </c>
      <c r="C124" s="454"/>
      <c r="D124" s="455"/>
      <c r="E124" s="359">
        <f>50000/100000</f>
        <v>0.5</v>
      </c>
      <c r="F124" s="359">
        <f>50000/100000</f>
        <v>0.5</v>
      </c>
      <c r="G124" s="359">
        <f>50000/100000</f>
        <v>0.5</v>
      </c>
      <c r="H124" s="359">
        <f>50000/100000</f>
        <v>0.5</v>
      </c>
      <c r="I124" s="423">
        <f>SUM(E124:H124)</f>
        <v>2</v>
      </c>
      <c r="J124" s="418"/>
      <c r="K124" s="456"/>
    </row>
    <row r="125" spans="1:11" s="4" customFormat="1" ht="15.75">
      <c r="A125" s="15">
        <v>31</v>
      </c>
      <c r="B125" s="453" t="s">
        <v>42</v>
      </c>
      <c r="C125" s="454"/>
      <c r="D125" s="455"/>
      <c r="E125" s="326"/>
      <c r="F125" s="326"/>
      <c r="G125" s="326"/>
      <c r="H125" s="326"/>
      <c r="I125" s="423"/>
      <c r="J125" s="418"/>
      <c r="K125" s="456"/>
    </row>
    <row r="126" spans="1:11" s="4" customFormat="1" ht="15.75">
      <c r="A126" s="15">
        <v>32</v>
      </c>
      <c r="B126" s="453" t="s">
        <v>824</v>
      </c>
      <c r="C126" s="454"/>
      <c r="D126" s="455"/>
      <c r="E126" s="326"/>
      <c r="F126" s="326"/>
      <c r="G126" s="326"/>
      <c r="H126" s="326"/>
      <c r="I126" s="423"/>
      <c r="J126" s="418"/>
      <c r="K126" s="456"/>
    </row>
    <row r="127" spans="1:11" s="4" customFormat="1" ht="15.75">
      <c r="A127" s="15">
        <v>33</v>
      </c>
      <c r="B127" s="453" t="s">
        <v>825</v>
      </c>
      <c r="C127" s="454"/>
      <c r="D127" s="455"/>
      <c r="E127" s="326"/>
      <c r="F127" s="326"/>
      <c r="G127" s="326"/>
      <c r="H127" s="326"/>
      <c r="I127" s="423"/>
      <c r="J127" s="418"/>
      <c r="K127" s="456"/>
    </row>
    <row r="128" spans="1:11" ht="15.75">
      <c r="A128" s="15">
        <v>34</v>
      </c>
      <c r="B128" s="414" t="s">
        <v>44</v>
      </c>
      <c r="C128" s="415"/>
      <c r="D128" s="416"/>
      <c r="E128" s="326">
        <v>0</v>
      </c>
      <c r="F128" s="326">
        <v>0.25</v>
      </c>
      <c r="G128" s="326">
        <v>0</v>
      </c>
      <c r="H128" s="326">
        <v>0</v>
      </c>
      <c r="I128" s="423">
        <f>SUM(E128:H128)</f>
        <v>0.25</v>
      </c>
      <c r="J128" s="418"/>
      <c r="K128" s="456"/>
    </row>
    <row r="129" spans="1:11" s="4" customFormat="1" ht="15.75">
      <c r="A129" s="15">
        <v>35</v>
      </c>
      <c r="B129" s="414" t="s">
        <v>45</v>
      </c>
      <c r="C129" s="415"/>
      <c r="D129" s="416"/>
      <c r="E129" s="326"/>
      <c r="F129" s="326"/>
      <c r="G129" s="326"/>
      <c r="H129" s="326"/>
      <c r="I129" s="423"/>
      <c r="J129" s="418"/>
      <c r="K129" s="456"/>
    </row>
    <row r="130" spans="1:11" s="4" customFormat="1" ht="38.25" customHeight="1">
      <c r="A130" s="488" t="s">
        <v>5</v>
      </c>
      <c r="B130" s="489"/>
      <c r="C130" s="489"/>
      <c r="D130" s="490"/>
      <c r="E130" s="457">
        <f>SUM(E6:E129)</f>
        <v>883.375</v>
      </c>
      <c r="F130" s="457">
        <f t="shared" ref="F130:H130" si="3">SUM(F6:F129)</f>
        <v>584.20500000000004</v>
      </c>
      <c r="G130" s="457">
        <f t="shared" si="3"/>
        <v>297.35500000000002</v>
      </c>
      <c r="H130" s="457">
        <f t="shared" si="3"/>
        <v>289.38199999999995</v>
      </c>
      <c r="I130" s="458">
        <f>SUM(I6:I129)</f>
        <v>2054.317</v>
      </c>
      <c r="J130" s="459">
        <f>SUM(J6:J129)</f>
        <v>17.635000000000002</v>
      </c>
      <c r="K130" s="460"/>
    </row>
    <row r="131" spans="1:11">
      <c r="J131" s="24"/>
    </row>
    <row r="132" spans="1:11" s="4" customFormat="1" ht="15.75">
      <c r="A132" s="344">
        <v>36</v>
      </c>
      <c r="B132" s="462" t="s">
        <v>43</v>
      </c>
      <c r="C132" s="462"/>
      <c r="D132" s="462"/>
      <c r="E132" s="326"/>
      <c r="F132" s="326"/>
      <c r="G132" s="326"/>
      <c r="H132" s="326"/>
      <c r="I132" s="344">
        <v>58</v>
      </c>
      <c r="J132" s="326">
        <v>58</v>
      </c>
      <c r="K132" s="456"/>
    </row>
    <row r="133" spans="1:11" s="17" customFormat="1" ht="62.25" customHeight="1">
      <c r="A133" s="667" t="s">
        <v>842</v>
      </c>
      <c r="B133" s="668"/>
      <c r="C133" s="668"/>
      <c r="D133" s="668"/>
      <c r="E133" s="668"/>
      <c r="F133" s="668"/>
      <c r="G133" s="668"/>
      <c r="H133" s="668"/>
      <c r="I133" s="668"/>
      <c r="J133" s="668"/>
      <c r="K133" s="669"/>
    </row>
    <row r="153" ht="15.75" customHeight="1"/>
  </sheetData>
  <mergeCells count="92">
    <mergeCell ref="A1:K1"/>
    <mergeCell ref="A2:K2"/>
    <mergeCell ref="A3:K3"/>
    <mergeCell ref="B4:D5"/>
    <mergeCell ref="E4:I4"/>
    <mergeCell ref="J4:J5"/>
    <mergeCell ref="K4:K5"/>
    <mergeCell ref="A6:A13"/>
    <mergeCell ref="B6:B13"/>
    <mergeCell ref="C6:C9"/>
    <mergeCell ref="C10:C13"/>
    <mergeCell ref="A14:A17"/>
    <mergeCell ref="B14:B17"/>
    <mergeCell ref="C15:C17"/>
    <mergeCell ref="A18:A22"/>
    <mergeCell ref="B18:B22"/>
    <mergeCell ref="C19:C22"/>
    <mergeCell ref="A23:A31"/>
    <mergeCell ref="B23:B31"/>
    <mergeCell ref="C24:C31"/>
    <mergeCell ref="A32:A39"/>
    <mergeCell ref="B32:B39"/>
    <mergeCell ref="C32:C33"/>
    <mergeCell ref="C34:C39"/>
    <mergeCell ref="A40:A43"/>
    <mergeCell ref="B40:B43"/>
    <mergeCell ref="C40:C41"/>
    <mergeCell ref="C42:C43"/>
    <mergeCell ref="A56:A59"/>
    <mergeCell ref="B56:B59"/>
    <mergeCell ref="C56:C57"/>
    <mergeCell ref="C58:C59"/>
    <mergeCell ref="A60:A74"/>
    <mergeCell ref="B60:B74"/>
    <mergeCell ref="C60:C69"/>
    <mergeCell ref="C70:C74"/>
    <mergeCell ref="B75:B85"/>
    <mergeCell ref="A75:A85"/>
    <mergeCell ref="C75:C76"/>
    <mergeCell ref="C77:C85"/>
    <mergeCell ref="B90:B93"/>
    <mergeCell ref="A90:A93"/>
    <mergeCell ref="C90:C91"/>
    <mergeCell ref="B98:B99"/>
    <mergeCell ref="A98:A99"/>
    <mergeCell ref="A130:D130"/>
    <mergeCell ref="B86:B89"/>
    <mergeCell ref="A86:A89"/>
    <mergeCell ref="C92:C93"/>
    <mergeCell ref="B94:B95"/>
    <mergeCell ref="A94:A95"/>
    <mergeCell ref="A96:A97"/>
    <mergeCell ref="B96:B97"/>
    <mergeCell ref="B102:B105"/>
    <mergeCell ref="A102:A105"/>
    <mergeCell ref="C102:C103"/>
    <mergeCell ref="C104:C105"/>
    <mergeCell ref="B106:B107"/>
    <mergeCell ref="A106:A107"/>
    <mergeCell ref="A108:A109"/>
    <mergeCell ref="B110:B111"/>
    <mergeCell ref="A110:A111"/>
    <mergeCell ref="A112:A113"/>
    <mergeCell ref="B112:B113"/>
    <mergeCell ref="A120:A121"/>
    <mergeCell ref="B118:B119"/>
    <mergeCell ref="B120:B121"/>
    <mergeCell ref="A133:K133"/>
    <mergeCell ref="K40:K43"/>
    <mergeCell ref="K90:K93"/>
    <mergeCell ref="K98:K99"/>
    <mergeCell ref="K106:K107"/>
    <mergeCell ref="K112:K113"/>
    <mergeCell ref="K114:K115"/>
    <mergeCell ref="B114:B115"/>
    <mergeCell ref="B116:B117"/>
    <mergeCell ref="A114:A115"/>
    <mergeCell ref="A116:A117"/>
    <mergeCell ref="A118:A119"/>
    <mergeCell ref="B108:B109"/>
    <mergeCell ref="J108:J111"/>
    <mergeCell ref="J116:J117"/>
    <mergeCell ref="K120:K121"/>
    <mergeCell ref="K94:K97"/>
    <mergeCell ref="J6:J39"/>
    <mergeCell ref="J44:J47"/>
    <mergeCell ref="J52:J55"/>
    <mergeCell ref="J60:J74"/>
    <mergeCell ref="J75:J85"/>
    <mergeCell ref="J86:J89"/>
    <mergeCell ref="J100:J101"/>
    <mergeCell ref="J102:J10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D70F-FB9B-409A-B5F3-23E563C08EF6}">
  <dimension ref="A1:I109"/>
  <sheetViews>
    <sheetView topLeftCell="A80" workbookViewId="0">
      <selection activeCell="P7" sqref="P7"/>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2.7109375" style="1" bestFit="1" customWidth="1"/>
    <col min="10" max="16384" width="9.140625" style="1"/>
  </cols>
  <sheetData>
    <row r="1" spans="1:9" ht="56.25" customHeight="1">
      <c r="A1" s="713" t="s">
        <v>843</v>
      </c>
      <c r="B1" s="713"/>
      <c r="C1" s="713"/>
      <c r="D1" s="713"/>
      <c r="E1" s="713"/>
      <c r="F1" s="713"/>
      <c r="G1" s="713"/>
      <c r="H1" s="713"/>
      <c r="I1" s="713"/>
    </row>
    <row r="2" spans="1:9" ht="19.5" customHeight="1">
      <c r="A2" s="714" t="s">
        <v>760</v>
      </c>
      <c r="B2" s="715"/>
      <c r="C2" s="715"/>
      <c r="D2" s="715"/>
      <c r="E2" s="715"/>
      <c r="F2" s="715"/>
      <c r="G2" s="715"/>
      <c r="H2" s="715"/>
      <c r="I2" s="715"/>
    </row>
    <row r="3" spans="1:9" s="22" customFormat="1" ht="34.5" customHeight="1">
      <c r="A3" s="18" t="s">
        <v>48</v>
      </c>
      <c r="B3" s="716" t="s">
        <v>2</v>
      </c>
      <c r="C3" s="717"/>
      <c r="D3" s="718"/>
      <c r="E3" s="20" t="s">
        <v>49</v>
      </c>
      <c r="F3" s="18" t="s">
        <v>50</v>
      </c>
      <c r="G3" s="20" t="s">
        <v>51</v>
      </c>
      <c r="H3" s="19" t="s">
        <v>52</v>
      </c>
      <c r="I3" s="21" t="s">
        <v>53</v>
      </c>
    </row>
    <row r="4" spans="1:9" s="4" customFormat="1" ht="17.25" customHeight="1">
      <c r="A4" s="700">
        <v>1</v>
      </c>
      <c r="B4" s="554" t="s">
        <v>6</v>
      </c>
      <c r="C4" s="554" t="s">
        <v>7</v>
      </c>
      <c r="D4" s="5" t="s">
        <v>8</v>
      </c>
      <c r="E4" s="6"/>
      <c r="F4" s="6"/>
      <c r="G4" s="6"/>
      <c r="H4" s="12"/>
      <c r="I4" s="13"/>
    </row>
    <row r="5" spans="1:9" s="4" customFormat="1" ht="17.25" customHeight="1">
      <c r="A5" s="701"/>
      <c r="B5" s="555"/>
      <c r="C5" s="555"/>
      <c r="D5" s="5" t="s">
        <v>9</v>
      </c>
      <c r="E5" s="6"/>
      <c r="F5" s="6"/>
      <c r="G5" s="6"/>
      <c r="H5" s="12"/>
      <c r="I5" s="13"/>
    </row>
    <row r="6" spans="1:9" s="4" customFormat="1" ht="17.25" customHeight="1">
      <c r="A6" s="701"/>
      <c r="B6" s="555"/>
      <c r="C6" s="555"/>
      <c r="D6" s="5" t="s">
        <v>10</v>
      </c>
      <c r="E6" s="6" t="s">
        <v>761</v>
      </c>
      <c r="F6" s="6">
        <v>50</v>
      </c>
      <c r="G6" s="6">
        <v>0.01</v>
      </c>
      <c r="H6" s="12">
        <v>0.5</v>
      </c>
      <c r="I6" s="13" t="s">
        <v>762</v>
      </c>
    </row>
    <row r="7" spans="1:9" s="4" customFormat="1" ht="17.25" customHeight="1">
      <c r="A7" s="701"/>
      <c r="B7" s="555"/>
      <c r="C7" s="556"/>
      <c r="D7" s="5" t="s">
        <v>11</v>
      </c>
      <c r="E7" s="6"/>
      <c r="F7" s="6"/>
      <c r="G7" s="6"/>
      <c r="H7" s="12"/>
      <c r="I7" s="13"/>
    </row>
    <row r="8" spans="1:9" s="4" customFormat="1" ht="17.25" customHeight="1">
      <c r="A8" s="701"/>
      <c r="B8" s="555"/>
      <c r="C8" s="554" t="s">
        <v>12</v>
      </c>
      <c r="D8" s="5" t="s">
        <v>13</v>
      </c>
      <c r="E8" s="6" t="s">
        <v>287</v>
      </c>
      <c r="F8" s="6" t="s">
        <v>763</v>
      </c>
      <c r="G8" s="6">
        <v>2.2000000000000001E-3</v>
      </c>
      <c r="H8" s="12">
        <v>2.1999999999999999E-2</v>
      </c>
      <c r="I8" s="13" t="s">
        <v>762</v>
      </c>
    </row>
    <row r="9" spans="1:9" s="4" customFormat="1" ht="17.25" customHeight="1">
      <c r="A9" s="701"/>
      <c r="B9" s="555"/>
      <c r="C9" s="555"/>
      <c r="D9" s="5" t="s">
        <v>14</v>
      </c>
      <c r="E9" s="6"/>
      <c r="F9" s="6"/>
      <c r="G9" s="6"/>
      <c r="H9" s="12"/>
      <c r="I9" s="13"/>
    </row>
    <row r="10" spans="1:9" s="4" customFormat="1" ht="17.25" customHeight="1">
      <c r="A10" s="701"/>
      <c r="B10" s="555"/>
      <c r="C10" s="555"/>
      <c r="D10" s="5" t="s">
        <v>15</v>
      </c>
      <c r="E10" s="6" t="s">
        <v>764</v>
      </c>
      <c r="F10" s="6"/>
      <c r="G10" s="6">
        <v>0.12</v>
      </c>
      <c r="H10" s="12">
        <v>0.12</v>
      </c>
      <c r="I10" s="13" t="s">
        <v>762</v>
      </c>
    </row>
    <row r="11" spans="1:9" s="4" customFormat="1" ht="17.25" customHeight="1">
      <c r="A11" s="710"/>
      <c r="B11" s="556"/>
      <c r="C11" s="556"/>
      <c r="D11" s="5" t="s">
        <v>11</v>
      </c>
      <c r="E11" s="6"/>
      <c r="F11" s="6"/>
      <c r="G11" s="6"/>
      <c r="H11" s="12"/>
      <c r="I11" s="13"/>
    </row>
    <row r="12" spans="1:9" s="4" customFormat="1" ht="21.2" customHeight="1">
      <c r="A12" s="700">
        <v>2</v>
      </c>
      <c r="B12" s="554" t="s">
        <v>16</v>
      </c>
      <c r="C12" s="5" t="s">
        <v>7</v>
      </c>
      <c r="D12" s="5" t="s">
        <v>8</v>
      </c>
      <c r="E12" s="6"/>
      <c r="F12" s="6"/>
      <c r="G12" s="6"/>
      <c r="H12" s="12"/>
      <c r="I12" s="13"/>
    </row>
    <row r="13" spans="1:9" s="4" customFormat="1" ht="17.25" customHeight="1">
      <c r="A13" s="701"/>
      <c r="B13" s="555"/>
      <c r="C13" s="554" t="s">
        <v>12</v>
      </c>
      <c r="D13" s="5" t="s">
        <v>17</v>
      </c>
      <c r="E13" s="6" t="s">
        <v>765</v>
      </c>
      <c r="F13" s="6">
        <v>120</v>
      </c>
      <c r="G13" s="6">
        <v>5.0000000000000001E-3</v>
      </c>
      <c r="H13" s="12">
        <v>0.6</v>
      </c>
      <c r="I13" s="13" t="s">
        <v>766</v>
      </c>
    </row>
    <row r="14" spans="1:9" s="4" customFormat="1" ht="17.25" customHeight="1">
      <c r="A14" s="701"/>
      <c r="B14" s="555"/>
      <c r="C14" s="555"/>
      <c r="D14" s="5" t="s">
        <v>18</v>
      </c>
      <c r="E14" s="6" t="s">
        <v>767</v>
      </c>
      <c r="F14" s="6">
        <v>60</v>
      </c>
      <c r="G14" s="6">
        <v>0.01</v>
      </c>
      <c r="H14" s="12">
        <v>0.6</v>
      </c>
      <c r="I14" s="13" t="s">
        <v>768</v>
      </c>
    </row>
    <row r="15" spans="1:9" s="4" customFormat="1" ht="17.25" customHeight="1">
      <c r="A15" s="710"/>
      <c r="B15" s="556"/>
      <c r="C15" s="556"/>
      <c r="D15" s="5" t="s">
        <v>11</v>
      </c>
      <c r="E15" s="6" t="s">
        <v>769</v>
      </c>
      <c r="F15" s="6">
        <v>1600</v>
      </c>
      <c r="G15" s="6">
        <v>0.01</v>
      </c>
      <c r="H15" s="12">
        <v>16</v>
      </c>
      <c r="I15" s="13" t="s">
        <v>770</v>
      </c>
    </row>
    <row r="16" spans="1:9" s="4" customFormat="1" ht="21.2" customHeight="1">
      <c r="A16" s="700">
        <v>3</v>
      </c>
      <c r="B16" s="554" t="s">
        <v>54</v>
      </c>
      <c r="C16" s="5" t="s">
        <v>7</v>
      </c>
      <c r="D16" s="5" t="s">
        <v>8</v>
      </c>
      <c r="E16" s="6"/>
      <c r="F16" s="6"/>
      <c r="G16" s="6"/>
      <c r="H16" s="12"/>
      <c r="I16" s="13"/>
    </row>
    <row r="17" spans="1:9" s="4" customFormat="1" ht="17.25" customHeight="1">
      <c r="A17" s="701"/>
      <c r="B17" s="555"/>
      <c r="C17" s="554" t="s">
        <v>12</v>
      </c>
      <c r="D17" s="5" t="s">
        <v>17</v>
      </c>
      <c r="E17" s="6" t="s">
        <v>771</v>
      </c>
      <c r="F17" s="6">
        <v>2</v>
      </c>
      <c r="G17" s="6">
        <v>2.5</v>
      </c>
      <c r="H17" s="12">
        <v>5</v>
      </c>
      <c r="I17" s="13" t="s">
        <v>772</v>
      </c>
    </row>
    <row r="18" spans="1:9" s="4" customFormat="1" ht="17.25" customHeight="1">
      <c r="A18" s="701"/>
      <c r="B18" s="555"/>
      <c r="C18" s="555"/>
      <c r="D18" s="5" t="s">
        <v>18</v>
      </c>
      <c r="E18" s="6" t="s">
        <v>771</v>
      </c>
      <c r="F18" s="6">
        <v>2</v>
      </c>
      <c r="G18" s="6">
        <v>0.75</v>
      </c>
      <c r="H18" s="12">
        <v>1.5</v>
      </c>
      <c r="I18" s="13" t="s">
        <v>773</v>
      </c>
    </row>
    <row r="19" spans="1:9" s="4" customFormat="1" ht="17.25" customHeight="1">
      <c r="A19" s="701"/>
      <c r="B19" s="555"/>
      <c r="C19" s="555"/>
      <c r="D19" s="5" t="s">
        <v>19</v>
      </c>
      <c r="E19" s="6" t="s">
        <v>774</v>
      </c>
      <c r="F19" s="6">
        <v>2</v>
      </c>
      <c r="G19" s="6">
        <v>0.25</v>
      </c>
      <c r="H19" s="12">
        <v>0.5</v>
      </c>
      <c r="I19" s="13" t="s">
        <v>775</v>
      </c>
    </row>
    <row r="20" spans="1:9" s="4" customFormat="1" ht="17.25" customHeight="1">
      <c r="A20" s="710"/>
      <c r="B20" s="556"/>
      <c r="C20" s="556"/>
      <c r="D20" s="5" t="s">
        <v>11</v>
      </c>
      <c r="E20" s="6"/>
      <c r="F20" s="6"/>
      <c r="G20" s="6"/>
      <c r="H20" s="12"/>
      <c r="I20" s="13"/>
    </row>
    <row r="21" spans="1:9" s="4" customFormat="1" ht="21.2" customHeight="1">
      <c r="A21" s="700">
        <v>4</v>
      </c>
      <c r="B21" s="554" t="s">
        <v>20</v>
      </c>
      <c r="C21" s="5" t="s">
        <v>7</v>
      </c>
      <c r="D21" s="5" t="s">
        <v>8</v>
      </c>
      <c r="E21" s="6"/>
      <c r="F21" s="6"/>
      <c r="G21" s="6"/>
      <c r="H21" s="12"/>
      <c r="I21" s="13"/>
    </row>
    <row r="22" spans="1:9" s="4" customFormat="1" ht="17.25" customHeight="1">
      <c r="A22" s="701"/>
      <c r="B22" s="555"/>
      <c r="C22" s="554" t="s">
        <v>12</v>
      </c>
      <c r="D22" s="5" t="s">
        <v>17</v>
      </c>
      <c r="E22" s="6"/>
      <c r="F22" s="6"/>
      <c r="G22" s="6"/>
      <c r="H22" s="12"/>
      <c r="I22" s="13"/>
    </row>
    <row r="23" spans="1:9" s="4" customFormat="1" ht="17.25" customHeight="1">
      <c r="A23" s="701"/>
      <c r="B23" s="555"/>
      <c r="C23" s="555"/>
      <c r="D23" s="5" t="s">
        <v>18</v>
      </c>
      <c r="E23" s="6" t="s">
        <v>776</v>
      </c>
      <c r="F23" s="6">
        <v>8</v>
      </c>
      <c r="G23" s="6">
        <v>1</v>
      </c>
      <c r="H23" s="12">
        <v>8</v>
      </c>
      <c r="I23" s="13" t="s">
        <v>777</v>
      </c>
    </row>
    <row r="24" spans="1:9" s="4" customFormat="1" ht="17.25" customHeight="1">
      <c r="A24" s="710"/>
      <c r="B24" s="556"/>
      <c r="C24" s="556"/>
      <c r="D24" s="5" t="s">
        <v>11</v>
      </c>
      <c r="E24" s="6"/>
      <c r="F24" s="6"/>
      <c r="G24" s="6"/>
      <c r="H24" s="12"/>
      <c r="I24" s="13"/>
    </row>
    <row r="25" spans="1:9" s="4" customFormat="1" ht="17.25" customHeight="1">
      <c r="A25" s="700">
        <v>5</v>
      </c>
      <c r="B25" s="554" t="s">
        <v>21</v>
      </c>
      <c r="C25" s="554" t="s">
        <v>7</v>
      </c>
      <c r="D25" s="5" t="s">
        <v>8</v>
      </c>
      <c r="E25" s="6"/>
      <c r="F25" s="6"/>
      <c r="G25" s="6"/>
      <c r="H25" s="12"/>
      <c r="I25" s="13"/>
    </row>
    <row r="26" spans="1:9" s="4" customFormat="1" ht="17.25" customHeight="1">
      <c r="A26" s="701"/>
      <c r="B26" s="555"/>
      <c r="C26" s="556"/>
      <c r="D26" s="5" t="s">
        <v>11</v>
      </c>
      <c r="E26" s="6"/>
      <c r="F26" s="6"/>
      <c r="G26" s="6"/>
      <c r="H26" s="12"/>
      <c r="I26" s="13"/>
    </row>
    <row r="27" spans="1:9" s="4" customFormat="1" ht="17.25" customHeight="1">
      <c r="A27" s="701"/>
      <c r="B27" s="555"/>
      <c r="C27" s="554" t="s">
        <v>12</v>
      </c>
      <c r="D27" s="5" t="s">
        <v>22</v>
      </c>
      <c r="E27" s="6"/>
      <c r="F27" s="6"/>
      <c r="G27" s="6"/>
      <c r="H27" s="12"/>
      <c r="I27" s="13"/>
    </row>
    <row r="28" spans="1:9" s="4" customFormat="1" ht="17.25" customHeight="1">
      <c r="A28" s="701"/>
      <c r="B28" s="555"/>
      <c r="C28" s="555"/>
      <c r="D28" s="5" t="s">
        <v>23</v>
      </c>
      <c r="E28" s="6"/>
      <c r="F28" s="6"/>
      <c r="G28" s="6"/>
      <c r="H28" s="12"/>
      <c r="I28" s="13"/>
    </row>
    <row r="29" spans="1:9" s="4" customFormat="1" ht="17.25" customHeight="1">
      <c r="A29" s="701"/>
      <c r="B29" s="555"/>
      <c r="C29" s="555"/>
      <c r="D29" s="5" t="s">
        <v>24</v>
      </c>
      <c r="E29" s="6"/>
      <c r="F29" s="6"/>
      <c r="G29" s="6"/>
      <c r="H29" s="12"/>
      <c r="I29" s="13"/>
    </row>
    <row r="30" spans="1:9" s="4" customFormat="1" ht="17.25" customHeight="1">
      <c r="A30" s="701"/>
      <c r="B30" s="555"/>
      <c r="C30" s="555"/>
      <c r="D30" s="5" t="s">
        <v>55</v>
      </c>
      <c r="E30" s="6"/>
      <c r="F30" s="6"/>
      <c r="G30" s="6"/>
      <c r="H30" s="12"/>
      <c r="I30" s="13"/>
    </row>
    <row r="31" spans="1:9" s="4" customFormat="1" ht="17.25" customHeight="1">
      <c r="A31" s="701"/>
      <c r="B31" s="555"/>
      <c r="C31" s="555"/>
      <c r="D31" s="5" t="s">
        <v>25</v>
      </c>
      <c r="E31" s="6"/>
      <c r="F31" s="6"/>
      <c r="G31" s="6"/>
      <c r="H31" s="12"/>
      <c r="I31" s="13"/>
    </row>
    <row r="32" spans="1:9" s="4" customFormat="1" ht="17.25" customHeight="1">
      <c r="A32" s="710"/>
      <c r="B32" s="556"/>
      <c r="C32" s="556"/>
      <c r="D32" s="5" t="s">
        <v>11</v>
      </c>
      <c r="E32" s="6"/>
      <c r="F32" s="6"/>
      <c r="G32" s="6"/>
      <c r="H32" s="12"/>
      <c r="I32" s="13"/>
    </row>
    <row r="33" spans="1:9" s="4" customFormat="1" ht="17.25" customHeight="1">
      <c r="A33" s="700">
        <v>6</v>
      </c>
      <c r="B33" s="554" t="s">
        <v>56</v>
      </c>
      <c r="C33" s="554" t="s">
        <v>7</v>
      </c>
      <c r="D33" s="5" t="s">
        <v>8</v>
      </c>
      <c r="E33" s="6"/>
      <c r="F33" s="6"/>
      <c r="G33" s="6"/>
      <c r="H33" s="12"/>
      <c r="I33" s="13"/>
    </row>
    <row r="34" spans="1:9" s="4" customFormat="1" ht="17.25" customHeight="1">
      <c r="A34" s="701"/>
      <c r="B34" s="555"/>
      <c r="C34" s="556"/>
      <c r="D34" s="5" t="s">
        <v>11</v>
      </c>
      <c r="E34" s="6"/>
      <c r="F34" s="6"/>
      <c r="G34" s="6"/>
      <c r="H34" s="12"/>
      <c r="I34" s="13"/>
    </row>
    <row r="35" spans="1:9" s="4" customFormat="1" ht="17.25" customHeight="1">
      <c r="A35" s="701"/>
      <c r="B35" s="555"/>
      <c r="C35" s="554" t="s">
        <v>12</v>
      </c>
      <c r="D35" s="5" t="s">
        <v>15</v>
      </c>
      <c r="E35" s="6"/>
      <c r="F35" s="6"/>
      <c r="G35" s="6"/>
      <c r="H35" s="12"/>
      <c r="I35" s="13"/>
    </row>
    <row r="36" spans="1:9" s="4" customFormat="1" ht="17.25" customHeight="1">
      <c r="A36" s="710"/>
      <c r="B36" s="556"/>
      <c r="C36" s="556"/>
      <c r="D36" s="5" t="s">
        <v>11</v>
      </c>
      <c r="E36" s="6"/>
      <c r="F36" s="6"/>
      <c r="G36" s="6"/>
      <c r="H36" s="12"/>
      <c r="I36" s="13"/>
    </row>
    <row r="37" spans="1:9" s="4" customFormat="1" ht="17.25" customHeight="1">
      <c r="A37" s="700">
        <v>7</v>
      </c>
      <c r="B37" s="554" t="s">
        <v>26</v>
      </c>
      <c r="C37" s="554" t="s">
        <v>7</v>
      </c>
      <c r="D37" s="5" t="s">
        <v>8</v>
      </c>
      <c r="E37" s="6"/>
      <c r="F37" s="6"/>
      <c r="G37" s="6"/>
      <c r="H37" s="12"/>
      <c r="I37" s="13"/>
    </row>
    <row r="38" spans="1:9" s="4" customFormat="1" ht="17.25" customHeight="1">
      <c r="A38" s="701"/>
      <c r="B38" s="555"/>
      <c r="C38" s="556"/>
      <c r="D38" s="5" t="s">
        <v>11</v>
      </c>
      <c r="E38" s="6"/>
      <c r="F38" s="6"/>
      <c r="G38" s="6"/>
      <c r="H38" s="12"/>
      <c r="I38" s="13"/>
    </row>
    <row r="39" spans="1:9" s="4" customFormat="1" ht="17.25" customHeight="1">
      <c r="A39" s="701"/>
      <c r="B39" s="555"/>
      <c r="C39" s="554" t="s">
        <v>12</v>
      </c>
      <c r="D39" s="5" t="s">
        <v>8</v>
      </c>
      <c r="E39" s="6"/>
      <c r="F39" s="6"/>
      <c r="G39" s="6"/>
      <c r="H39" s="12"/>
      <c r="I39" s="13"/>
    </row>
    <row r="40" spans="1:9" s="4" customFormat="1" ht="17.25" customHeight="1">
      <c r="A40" s="710"/>
      <c r="B40" s="556"/>
      <c r="C40" s="556"/>
      <c r="D40" s="5" t="s">
        <v>11</v>
      </c>
      <c r="E40" s="6"/>
      <c r="F40" s="6"/>
      <c r="G40" s="6"/>
      <c r="H40" s="12"/>
      <c r="I40" s="13"/>
    </row>
    <row r="41" spans="1:9" s="4" customFormat="1" ht="17.25" customHeight="1">
      <c r="A41" s="700">
        <v>8</v>
      </c>
      <c r="B41" s="554" t="s">
        <v>27</v>
      </c>
      <c r="C41" s="554" t="s">
        <v>7</v>
      </c>
      <c r="D41" s="5" t="s">
        <v>8</v>
      </c>
      <c r="E41" s="6"/>
      <c r="F41" s="6"/>
      <c r="G41" s="6"/>
      <c r="H41" s="12"/>
      <c r="I41" s="13"/>
    </row>
    <row r="42" spans="1:9" s="4" customFormat="1" ht="17.25" customHeight="1">
      <c r="A42" s="701"/>
      <c r="B42" s="555"/>
      <c r="C42" s="556"/>
      <c r="D42" s="5" t="s">
        <v>11</v>
      </c>
      <c r="E42" s="6"/>
      <c r="F42" s="6"/>
      <c r="G42" s="6"/>
      <c r="H42" s="12"/>
      <c r="I42" s="13"/>
    </row>
    <row r="43" spans="1:9" s="4" customFormat="1" ht="17.25" customHeight="1">
      <c r="A43" s="701"/>
      <c r="B43" s="555"/>
      <c r="C43" s="554" t="s">
        <v>12</v>
      </c>
      <c r="D43" s="5" t="s">
        <v>8</v>
      </c>
      <c r="E43" s="6"/>
      <c r="F43" s="6"/>
      <c r="G43" s="6"/>
      <c r="H43" s="12"/>
      <c r="I43" s="13"/>
    </row>
    <row r="44" spans="1:9" s="4" customFormat="1" ht="17.25" customHeight="1">
      <c r="A44" s="710"/>
      <c r="B44" s="556"/>
      <c r="C44" s="556"/>
      <c r="D44" s="5" t="s">
        <v>11</v>
      </c>
      <c r="E44" s="6"/>
      <c r="F44" s="6"/>
      <c r="G44" s="6"/>
      <c r="H44" s="12"/>
      <c r="I44" s="13"/>
    </row>
    <row r="45" spans="1:9" s="4" customFormat="1" ht="17.25" customHeight="1">
      <c r="A45" s="700">
        <v>9</v>
      </c>
      <c r="B45" s="554" t="s">
        <v>28</v>
      </c>
      <c r="C45" s="554" t="s">
        <v>7</v>
      </c>
      <c r="D45" s="5" t="s">
        <v>8</v>
      </c>
      <c r="E45" s="6"/>
      <c r="F45" s="6"/>
      <c r="G45" s="6"/>
      <c r="H45" s="12"/>
      <c r="I45" s="13"/>
    </row>
    <row r="46" spans="1:9" s="4" customFormat="1" ht="17.25" customHeight="1">
      <c r="A46" s="701"/>
      <c r="B46" s="555"/>
      <c r="C46" s="556"/>
      <c r="D46" s="5" t="s">
        <v>11</v>
      </c>
      <c r="E46" s="6"/>
      <c r="F46" s="6"/>
      <c r="G46" s="6"/>
      <c r="H46" s="12"/>
      <c r="I46" s="13"/>
    </row>
    <row r="47" spans="1:9" s="4" customFormat="1" ht="17.25" customHeight="1">
      <c r="A47" s="701"/>
      <c r="B47" s="555"/>
      <c r="C47" s="554" t="s">
        <v>12</v>
      </c>
      <c r="D47" s="5" t="s">
        <v>8</v>
      </c>
      <c r="E47" s="6"/>
      <c r="F47" s="6"/>
      <c r="G47" s="6"/>
      <c r="H47" s="12"/>
      <c r="I47" s="13"/>
    </row>
    <row r="48" spans="1:9" s="4" customFormat="1" ht="17.25" customHeight="1">
      <c r="A48" s="710"/>
      <c r="B48" s="556"/>
      <c r="C48" s="556"/>
      <c r="D48" s="5" t="s">
        <v>11</v>
      </c>
      <c r="E48" s="6"/>
      <c r="F48" s="6"/>
      <c r="G48" s="6"/>
      <c r="H48" s="12"/>
      <c r="I48" s="13"/>
    </row>
    <row r="49" spans="1:9" s="4" customFormat="1" ht="17.25" customHeight="1">
      <c r="A49" s="700">
        <v>10</v>
      </c>
      <c r="B49" s="554" t="s">
        <v>57</v>
      </c>
      <c r="C49" s="554" t="s">
        <v>7</v>
      </c>
      <c r="D49" s="11" t="s">
        <v>58</v>
      </c>
      <c r="E49" s="6"/>
      <c r="F49" s="6"/>
      <c r="G49" s="6"/>
      <c r="H49" s="12"/>
      <c r="I49" s="13"/>
    </row>
    <row r="50" spans="1:9" s="4" customFormat="1" ht="17.25" customHeight="1">
      <c r="A50" s="701"/>
      <c r="B50" s="555"/>
      <c r="C50" s="556"/>
      <c r="D50" s="7" t="s">
        <v>11</v>
      </c>
      <c r="E50" s="6"/>
      <c r="F50" s="6"/>
      <c r="G50" s="6"/>
      <c r="H50" s="12"/>
      <c r="I50" s="13"/>
    </row>
    <row r="51" spans="1:9" s="4" customFormat="1" ht="17.25" customHeight="1">
      <c r="A51" s="701"/>
      <c r="B51" s="555"/>
      <c r="C51" s="554" t="s">
        <v>12</v>
      </c>
      <c r="D51" s="11" t="s">
        <v>31</v>
      </c>
      <c r="E51" s="6"/>
      <c r="F51" s="6"/>
      <c r="G51" s="6"/>
      <c r="H51" s="12"/>
      <c r="I51" s="13"/>
    </row>
    <row r="52" spans="1:9" s="4" customFormat="1" ht="17.25" customHeight="1">
      <c r="A52" s="710"/>
      <c r="B52" s="556"/>
      <c r="C52" s="556"/>
      <c r="D52" s="7" t="s">
        <v>11</v>
      </c>
      <c r="E52" s="6"/>
      <c r="F52" s="6"/>
      <c r="G52" s="6"/>
      <c r="H52" s="12"/>
      <c r="I52" s="13"/>
    </row>
    <row r="53" spans="1:9" s="4" customFormat="1" ht="17.25" customHeight="1">
      <c r="A53" s="700">
        <v>11</v>
      </c>
      <c r="B53" s="554" t="s">
        <v>32</v>
      </c>
      <c r="C53" s="520" t="s">
        <v>7</v>
      </c>
      <c r="D53" s="509"/>
      <c r="E53" s="6"/>
      <c r="F53" s="6"/>
      <c r="G53" s="6"/>
      <c r="H53" s="12"/>
      <c r="I53" s="13"/>
    </row>
    <row r="54" spans="1:9" s="4" customFormat="1" ht="17.25" customHeight="1">
      <c r="A54" s="710"/>
      <c r="B54" s="556"/>
      <c r="C54" s="520" t="s">
        <v>12</v>
      </c>
      <c r="D54" s="509"/>
      <c r="E54" s="6"/>
      <c r="F54" s="6"/>
      <c r="G54" s="6"/>
      <c r="H54" s="12"/>
      <c r="I54" s="13"/>
    </row>
    <row r="55" spans="1:9" s="4" customFormat="1" ht="17.25" customHeight="1">
      <c r="A55" s="700">
        <v>12</v>
      </c>
      <c r="B55" s="711" t="s">
        <v>59</v>
      </c>
      <c r="C55" s="520" t="s">
        <v>7</v>
      </c>
      <c r="D55" s="509"/>
      <c r="E55" s="6"/>
      <c r="F55" s="6"/>
      <c r="G55" s="6"/>
      <c r="H55" s="12"/>
      <c r="I55" s="13"/>
    </row>
    <row r="56" spans="1:9" s="4" customFormat="1" ht="17.25" customHeight="1">
      <c r="A56" s="710"/>
      <c r="B56" s="712"/>
      <c r="C56" s="520" t="s">
        <v>12</v>
      </c>
      <c r="D56" s="509"/>
      <c r="E56" s="6"/>
      <c r="F56" s="6"/>
      <c r="G56" s="6"/>
      <c r="H56" s="12"/>
      <c r="I56" s="13"/>
    </row>
    <row r="57" spans="1:9" s="4" customFormat="1" ht="17.25" customHeight="1">
      <c r="A57" s="700">
        <v>13</v>
      </c>
      <c r="B57" s="554" t="s">
        <v>33</v>
      </c>
      <c r="C57" s="520" t="s">
        <v>7</v>
      </c>
      <c r="D57" s="509"/>
      <c r="E57" s="6"/>
      <c r="F57" s="6"/>
      <c r="G57" s="6"/>
      <c r="H57" s="12"/>
      <c r="I57" s="13"/>
    </row>
    <row r="58" spans="1:9" s="4" customFormat="1" ht="17.25" customHeight="1">
      <c r="A58" s="710"/>
      <c r="B58" s="556"/>
      <c r="C58" s="520" t="s">
        <v>12</v>
      </c>
      <c r="D58" s="509"/>
      <c r="E58" s="6"/>
      <c r="F58" s="6"/>
      <c r="G58" s="6"/>
      <c r="H58" s="12"/>
      <c r="I58" s="13"/>
    </row>
    <row r="59" spans="1:9" s="4" customFormat="1" ht="17.25" customHeight="1">
      <c r="A59" s="700">
        <v>14</v>
      </c>
      <c r="B59" s="554" t="s">
        <v>34</v>
      </c>
      <c r="C59" s="554" t="s">
        <v>7</v>
      </c>
      <c r="D59" s="5" t="s">
        <v>8</v>
      </c>
      <c r="E59" s="6"/>
      <c r="F59" s="6"/>
      <c r="G59" s="6"/>
      <c r="H59" s="12"/>
      <c r="I59" s="13"/>
    </row>
    <row r="60" spans="1:9" s="4" customFormat="1" ht="17.25" customHeight="1">
      <c r="A60" s="701"/>
      <c r="B60" s="555"/>
      <c r="C60" s="556"/>
      <c r="D60" s="5" t="s">
        <v>11</v>
      </c>
      <c r="E60" s="6"/>
      <c r="F60" s="6"/>
      <c r="G60" s="6"/>
      <c r="H60" s="12"/>
      <c r="I60" s="13"/>
    </row>
    <row r="61" spans="1:9" s="4" customFormat="1" ht="17.25" customHeight="1">
      <c r="A61" s="701"/>
      <c r="B61" s="555"/>
      <c r="C61" s="554" t="s">
        <v>12</v>
      </c>
      <c r="D61" s="5" t="s">
        <v>8</v>
      </c>
      <c r="E61" s="6"/>
      <c r="F61" s="6"/>
      <c r="G61" s="6"/>
      <c r="H61" s="12"/>
      <c r="I61" s="13"/>
    </row>
    <row r="62" spans="1:9" s="4" customFormat="1" ht="17.25" customHeight="1">
      <c r="A62" s="710"/>
      <c r="B62" s="556"/>
      <c r="C62" s="556"/>
      <c r="D62" s="5" t="s">
        <v>11</v>
      </c>
      <c r="E62" s="6"/>
      <c r="F62" s="6"/>
      <c r="G62" s="6"/>
      <c r="H62" s="12"/>
      <c r="I62" s="13"/>
    </row>
    <row r="63" spans="1:9" s="4" customFormat="1">
      <c r="A63" s="706">
        <v>15</v>
      </c>
      <c r="B63" s="554" t="s">
        <v>35</v>
      </c>
      <c r="C63" s="520" t="s">
        <v>7</v>
      </c>
      <c r="D63" s="509"/>
      <c r="E63" s="6"/>
      <c r="F63" s="6"/>
      <c r="G63" s="6"/>
      <c r="H63" s="12"/>
      <c r="I63" s="13"/>
    </row>
    <row r="64" spans="1:9" s="4" customFormat="1">
      <c r="A64" s="707"/>
      <c r="B64" s="555"/>
      <c r="C64" s="708" t="s">
        <v>12</v>
      </c>
      <c r="D64" s="709"/>
      <c r="E64" s="8"/>
      <c r="F64" s="8"/>
      <c r="G64" s="8"/>
      <c r="H64" s="14"/>
      <c r="I64" s="13"/>
    </row>
    <row r="65" spans="1:9" s="4" customFormat="1">
      <c r="A65" s="706">
        <v>16</v>
      </c>
      <c r="B65" s="554" t="s">
        <v>36</v>
      </c>
      <c r="C65" s="520" t="s">
        <v>7</v>
      </c>
      <c r="D65" s="509"/>
      <c r="E65" s="6"/>
      <c r="F65" s="6"/>
      <c r="G65" s="6"/>
      <c r="H65" s="12"/>
      <c r="I65" s="13"/>
    </row>
    <row r="66" spans="1:9" s="4" customFormat="1">
      <c r="A66" s="707"/>
      <c r="B66" s="555"/>
      <c r="C66" s="708" t="s">
        <v>12</v>
      </c>
      <c r="D66" s="709"/>
      <c r="E66" s="8"/>
      <c r="F66" s="8"/>
      <c r="G66" s="8"/>
      <c r="H66" s="14"/>
      <c r="I66" s="13"/>
    </row>
    <row r="67" spans="1:9" s="4" customFormat="1">
      <c r="A67" s="706">
        <v>17</v>
      </c>
      <c r="B67" s="554" t="s">
        <v>37</v>
      </c>
      <c r="C67" s="520" t="s">
        <v>7</v>
      </c>
      <c r="D67" s="509"/>
      <c r="E67" s="6"/>
      <c r="F67" s="6"/>
      <c r="G67" s="6"/>
      <c r="H67" s="12"/>
      <c r="I67" s="13"/>
    </row>
    <row r="68" spans="1:9" s="4" customFormat="1">
      <c r="A68" s="707"/>
      <c r="B68" s="555"/>
      <c r="C68" s="708" t="s">
        <v>12</v>
      </c>
      <c r="D68" s="709"/>
      <c r="E68" s="8"/>
      <c r="F68" s="8"/>
      <c r="G68" s="8"/>
      <c r="H68" s="14"/>
      <c r="I68" s="13"/>
    </row>
    <row r="69" spans="1:9" s="4" customFormat="1">
      <c r="A69" s="706">
        <v>18</v>
      </c>
      <c r="B69" s="554" t="s">
        <v>38</v>
      </c>
      <c r="C69" s="520" t="s">
        <v>7</v>
      </c>
      <c r="D69" s="509"/>
      <c r="E69" s="6"/>
      <c r="F69" s="6"/>
      <c r="G69" s="6"/>
      <c r="H69" s="12"/>
      <c r="I69" s="13"/>
    </row>
    <row r="70" spans="1:9" s="4" customFormat="1">
      <c r="A70" s="707"/>
      <c r="B70" s="555"/>
      <c r="C70" s="708" t="s">
        <v>12</v>
      </c>
      <c r="D70" s="709"/>
      <c r="E70" s="8"/>
      <c r="F70" s="8"/>
      <c r="G70" s="8"/>
      <c r="H70" s="14"/>
      <c r="I70" s="13"/>
    </row>
    <row r="71" spans="1:9" s="4" customFormat="1">
      <c r="A71" s="706">
        <v>19</v>
      </c>
      <c r="B71" s="554" t="s">
        <v>39</v>
      </c>
      <c r="C71" s="520" t="s">
        <v>7</v>
      </c>
      <c r="D71" s="509"/>
      <c r="E71" s="6"/>
      <c r="F71" s="6"/>
      <c r="G71" s="6"/>
      <c r="H71" s="12"/>
      <c r="I71" s="13"/>
    </row>
    <row r="72" spans="1:9" s="4" customFormat="1">
      <c r="A72" s="707"/>
      <c r="B72" s="555"/>
      <c r="C72" s="708" t="s">
        <v>12</v>
      </c>
      <c r="D72" s="709"/>
      <c r="E72" s="8"/>
      <c r="F72" s="8"/>
      <c r="G72" s="8"/>
      <c r="H72" s="14"/>
      <c r="I72" s="13"/>
    </row>
    <row r="73" spans="1:9" s="4" customFormat="1">
      <c r="A73" s="706">
        <v>20</v>
      </c>
      <c r="B73" s="554" t="s">
        <v>40</v>
      </c>
      <c r="C73" s="520" t="s">
        <v>7</v>
      </c>
      <c r="D73" s="509"/>
      <c r="E73" s="6"/>
      <c r="F73" s="6"/>
      <c r="G73" s="6"/>
      <c r="H73" s="12"/>
      <c r="I73" s="13"/>
    </row>
    <row r="74" spans="1:9" s="4" customFormat="1">
      <c r="A74" s="707"/>
      <c r="B74" s="555"/>
      <c r="C74" s="708" t="s">
        <v>12</v>
      </c>
      <c r="D74" s="709"/>
      <c r="E74" s="8"/>
      <c r="F74" s="8"/>
      <c r="G74" s="8"/>
      <c r="H74" s="14"/>
      <c r="I74" s="13"/>
    </row>
    <row r="75" spans="1:9" s="4" customFormat="1">
      <c r="A75" s="706">
        <v>21</v>
      </c>
      <c r="B75" s="554" t="s">
        <v>41</v>
      </c>
      <c r="C75" s="520" t="s">
        <v>7</v>
      </c>
      <c r="D75" s="509"/>
      <c r="E75" s="6"/>
      <c r="F75" s="6"/>
      <c r="G75" s="6"/>
      <c r="H75" s="12"/>
      <c r="I75" s="13"/>
    </row>
    <row r="76" spans="1:9" s="4" customFormat="1">
      <c r="A76" s="707"/>
      <c r="B76" s="555"/>
      <c r="C76" s="708" t="s">
        <v>12</v>
      </c>
      <c r="D76" s="709"/>
      <c r="E76" s="8"/>
      <c r="F76" s="8"/>
      <c r="G76" s="8"/>
      <c r="H76" s="14"/>
      <c r="I76" s="13"/>
    </row>
    <row r="77" spans="1:9" s="4" customFormat="1">
      <c r="A77" s="700">
        <v>22</v>
      </c>
      <c r="B77" s="554" t="s">
        <v>60</v>
      </c>
      <c r="C77" s="702" t="s">
        <v>61</v>
      </c>
      <c r="D77" s="703"/>
      <c r="E77" s="6"/>
      <c r="F77" s="6"/>
      <c r="G77" s="6"/>
      <c r="H77" s="12"/>
      <c r="I77" s="13"/>
    </row>
    <row r="78" spans="1:9" s="4" customFormat="1">
      <c r="A78" s="701"/>
      <c r="B78" s="555"/>
      <c r="C78" s="520" t="s">
        <v>62</v>
      </c>
      <c r="D78" s="509"/>
      <c r="E78" s="6"/>
      <c r="F78" s="6"/>
      <c r="G78" s="6"/>
      <c r="H78" s="12"/>
      <c r="I78" s="13"/>
    </row>
    <row r="79" spans="1:9" s="4" customFormat="1">
      <c r="A79" s="701"/>
      <c r="B79" s="555"/>
      <c r="C79" s="520" t="s">
        <v>63</v>
      </c>
      <c r="D79" s="509"/>
      <c r="E79" s="6"/>
      <c r="F79" s="6"/>
      <c r="G79" s="6"/>
      <c r="H79" s="12"/>
      <c r="I79" s="13"/>
    </row>
    <row r="80" spans="1:9" s="4" customFormat="1">
      <c r="A80" s="701"/>
      <c r="B80" s="555"/>
      <c r="C80" s="520" t="s">
        <v>64</v>
      </c>
      <c r="D80" s="509"/>
      <c r="E80" s="6"/>
      <c r="F80" s="6"/>
      <c r="G80" s="6"/>
      <c r="H80" s="12"/>
      <c r="I80" s="13"/>
    </row>
    <row r="81" spans="1:9" s="4" customFormat="1">
      <c r="A81" s="701"/>
      <c r="B81" s="555"/>
      <c r="C81" s="704" t="s">
        <v>65</v>
      </c>
      <c r="D81" s="705"/>
      <c r="E81" s="8"/>
      <c r="F81" s="8"/>
      <c r="G81" s="8"/>
      <c r="H81" s="14"/>
      <c r="I81" s="13"/>
    </row>
    <row r="82" spans="1:9" s="4" customFormat="1">
      <c r="A82" s="491">
        <v>23</v>
      </c>
      <c r="B82" s="480" t="s">
        <v>66</v>
      </c>
      <c r="C82" s="695" t="s">
        <v>67</v>
      </c>
      <c r="D82" s="696"/>
      <c r="E82" s="13"/>
      <c r="F82" s="13"/>
      <c r="G82" s="13"/>
      <c r="H82" s="23"/>
      <c r="I82" s="13"/>
    </row>
    <row r="83" spans="1:9" s="4" customFormat="1">
      <c r="A83" s="491"/>
      <c r="B83" s="480"/>
      <c r="C83" s="695" t="s">
        <v>68</v>
      </c>
      <c r="D83" s="696"/>
      <c r="E83" s="13"/>
      <c r="F83" s="13"/>
      <c r="G83" s="13"/>
      <c r="H83" s="23"/>
      <c r="I83" s="13"/>
    </row>
    <row r="84" spans="1:9" s="4" customFormat="1">
      <c r="A84" s="491"/>
      <c r="B84" s="480"/>
      <c r="C84" s="695" t="s">
        <v>69</v>
      </c>
      <c r="D84" s="696"/>
      <c r="E84" s="13"/>
      <c r="F84" s="13"/>
      <c r="G84" s="13"/>
      <c r="H84" s="23"/>
      <c r="I84" s="13"/>
    </row>
    <row r="85" spans="1:9" s="4" customFormat="1">
      <c r="A85" s="491"/>
      <c r="B85" s="480"/>
      <c r="C85" s="695" t="s">
        <v>70</v>
      </c>
      <c r="D85" s="696"/>
      <c r="E85" s="13"/>
      <c r="F85" s="13"/>
      <c r="G85" s="13"/>
      <c r="H85" s="23"/>
      <c r="I85" s="13"/>
    </row>
    <row r="86" spans="1:9" s="4" customFormat="1">
      <c r="A86" s="491"/>
      <c r="B86" s="480"/>
      <c r="C86" s="695" t="s">
        <v>71</v>
      </c>
      <c r="D86" s="696"/>
      <c r="E86" s="13"/>
      <c r="F86" s="13"/>
      <c r="G86" s="13"/>
      <c r="H86" s="23"/>
      <c r="I86" s="13"/>
    </row>
    <row r="87" spans="1:9" s="4" customFormat="1">
      <c r="A87" s="491"/>
      <c r="B87" s="480"/>
      <c r="C87" s="695" t="s">
        <v>72</v>
      </c>
      <c r="D87" s="696"/>
      <c r="E87" s="13"/>
      <c r="F87" s="13"/>
      <c r="G87" s="13"/>
      <c r="H87" s="23"/>
      <c r="I87" s="13"/>
    </row>
    <row r="88" spans="1:9" s="4" customFormat="1">
      <c r="A88" s="491"/>
      <c r="B88" s="480"/>
      <c r="C88" s="695" t="s">
        <v>73</v>
      </c>
      <c r="D88" s="696"/>
      <c r="E88" s="13"/>
      <c r="F88" s="13"/>
      <c r="G88" s="13"/>
      <c r="H88" s="23"/>
      <c r="I88" s="13"/>
    </row>
    <row r="89" spans="1:9" s="4" customFormat="1">
      <c r="A89" s="491"/>
      <c r="B89" s="480"/>
      <c r="C89" s="695" t="s">
        <v>11</v>
      </c>
      <c r="D89" s="696"/>
      <c r="E89" s="13"/>
      <c r="F89" s="13"/>
      <c r="G89" s="13"/>
      <c r="H89" s="23"/>
      <c r="I89" s="13"/>
    </row>
    <row r="90" spans="1:9" s="4" customFormat="1" ht="31.5" customHeight="1">
      <c r="A90" s="491">
        <v>24</v>
      </c>
      <c r="B90" s="480" t="s">
        <v>74</v>
      </c>
      <c r="C90" s="695" t="s">
        <v>75</v>
      </c>
      <c r="D90" s="696"/>
      <c r="E90" s="13"/>
      <c r="F90" s="13"/>
      <c r="G90" s="13"/>
      <c r="H90" s="23"/>
      <c r="I90" s="13"/>
    </row>
    <row r="91" spans="1:9" s="4" customFormat="1">
      <c r="A91" s="491"/>
      <c r="B91" s="480"/>
      <c r="C91" s="695" t="s">
        <v>76</v>
      </c>
      <c r="D91" s="696"/>
      <c r="E91" s="13"/>
      <c r="F91" s="13"/>
      <c r="G91" s="13"/>
      <c r="H91" s="23"/>
      <c r="I91" s="13"/>
    </row>
    <row r="92" spans="1:9" s="4" customFormat="1">
      <c r="A92" s="491"/>
      <c r="B92" s="480"/>
      <c r="C92" s="695" t="s">
        <v>77</v>
      </c>
      <c r="D92" s="696"/>
      <c r="E92" s="13"/>
      <c r="F92" s="13"/>
      <c r="G92" s="13"/>
      <c r="H92" s="23"/>
      <c r="I92" s="13"/>
    </row>
    <row r="93" spans="1:9" s="4" customFormat="1" ht="15.75" customHeight="1">
      <c r="A93" s="15">
        <v>25</v>
      </c>
      <c r="B93" s="695" t="s">
        <v>42</v>
      </c>
      <c r="C93" s="697"/>
      <c r="D93" s="696"/>
      <c r="E93" s="13"/>
      <c r="F93" s="13"/>
      <c r="G93" s="13"/>
      <c r="H93" s="23"/>
      <c r="I93" s="13"/>
    </row>
    <row r="94" spans="1:9" s="4" customFormat="1">
      <c r="A94" s="491">
        <v>26</v>
      </c>
      <c r="B94" s="480" t="s">
        <v>78</v>
      </c>
      <c r="C94" s="695" t="s">
        <v>79</v>
      </c>
      <c r="D94" s="696"/>
      <c r="E94" s="13"/>
      <c r="F94" s="13"/>
      <c r="G94" s="13"/>
      <c r="H94" s="23"/>
      <c r="I94" s="13"/>
    </row>
    <row r="95" spans="1:9" s="4" customFormat="1">
      <c r="A95" s="491"/>
      <c r="B95" s="480"/>
      <c r="C95" s="695" t="s">
        <v>80</v>
      </c>
      <c r="D95" s="696"/>
      <c r="E95" s="13"/>
      <c r="F95" s="13"/>
      <c r="G95" s="13"/>
      <c r="H95" s="23"/>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4" customFormat="1" ht="15.75" customHeight="1">
      <c r="A106" s="15">
        <v>27</v>
      </c>
      <c r="B106" s="695" t="s">
        <v>89</v>
      </c>
      <c r="C106" s="697"/>
      <c r="D106" s="696"/>
      <c r="E106" s="13"/>
      <c r="F106" s="13"/>
      <c r="G106" s="13"/>
      <c r="H106" s="23"/>
      <c r="I106" s="13"/>
    </row>
    <row r="107" spans="1:9" s="4" customFormat="1" ht="15.75" customHeight="1">
      <c r="A107" s="15">
        <v>28</v>
      </c>
      <c r="B107" s="695" t="s">
        <v>43</v>
      </c>
      <c r="C107" s="697"/>
      <c r="D107" s="696"/>
      <c r="E107" s="13"/>
      <c r="F107" s="13"/>
      <c r="G107" s="13"/>
      <c r="H107" s="23"/>
      <c r="I107" s="13"/>
    </row>
    <row r="108" spans="1:9">
      <c r="A108" s="16"/>
      <c r="B108" s="694" t="s">
        <v>90</v>
      </c>
      <c r="C108" s="694"/>
      <c r="D108" s="694"/>
      <c r="E108" s="24"/>
      <c r="F108" s="24"/>
      <c r="G108" s="24"/>
      <c r="H108" s="25"/>
      <c r="I108" s="24"/>
    </row>
    <row r="109" spans="1:9" s="17" customFormat="1" ht="42" customHeight="1">
      <c r="A109" s="667" t="s">
        <v>91</v>
      </c>
      <c r="B109" s="668"/>
      <c r="C109" s="668"/>
      <c r="D109" s="668"/>
      <c r="E109" s="668"/>
      <c r="F109" s="668"/>
      <c r="G109" s="668"/>
      <c r="H109" s="668"/>
      <c r="I109" s="669"/>
    </row>
  </sheetData>
  <mergeCells count="125">
    <mergeCell ref="A12:A15"/>
    <mergeCell ref="B12:B15"/>
    <mergeCell ref="C13:C15"/>
    <mergeCell ref="A16:A20"/>
    <mergeCell ref="B16:B20"/>
    <mergeCell ref="C17:C20"/>
    <mergeCell ref="A1:I1"/>
    <mergeCell ref="A2:I2"/>
    <mergeCell ref="B3:D3"/>
    <mergeCell ref="A4:A11"/>
    <mergeCell ref="B4:B11"/>
    <mergeCell ref="C4:C7"/>
    <mergeCell ref="C8:C11"/>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B108:D108"/>
    <mergeCell ref="A109:I109"/>
    <mergeCell ref="C102:D102"/>
    <mergeCell ref="C103:D103"/>
    <mergeCell ref="C104:D104"/>
    <mergeCell ref="C105:D105"/>
    <mergeCell ref="B106:D106"/>
    <mergeCell ref="B107:D107"/>
    <mergeCell ref="A94:A105"/>
    <mergeCell ref="B94:B105"/>
    <mergeCell ref="C94:D94"/>
    <mergeCell ref="C95:D95"/>
    <mergeCell ref="C96:D96"/>
    <mergeCell ref="C97:D97"/>
    <mergeCell ref="C98:D98"/>
    <mergeCell ref="C99:D99"/>
    <mergeCell ref="C100:D100"/>
    <mergeCell ref="C101:D10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3E4B-DA55-42F3-AD8A-0CFC602EA68D}">
  <dimension ref="A1:I60"/>
  <sheetViews>
    <sheetView workbookViewId="0">
      <selection activeCell="N13" sqref="N13"/>
    </sheetView>
  </sheetViews>
  <sheetFormatPr defaultRowHeight="15.75"/>
  <cols>
    <col min="1" max="1" width="5.140625" style="26" bestFit="1" customWidth="1"/>
    <col min="2" max="2" width="24.7109375" style="1" customWidth="1"/>
    <col min="3" max="3" width="18.7109375" style="1" customWidth="1"/>
    <col min="4" max="4" width="31.7109375" style="1" customWidth="1"/>
    <col min="5" max="5" width="39.5703125" style="1" bestFit="1" customWidth="1"/>
    <col min="6" max="6" width="13.7109375" style="1" customWidth="1"/>
    <col min="7" max="7" width="16.7109375" style="1" customWidth="1"/>
    <col min="8" max="8" width="13.5703125" style="1" bestFit="1" customWidth="1"/>
    <col min="9" max="9" width="40" style="1" customWidth="1"/>
    <col min="10" max="16384" width="9.140625" style="1"/>
  </cols>
  <sheetData>
    <row r="1" spans="1:9" ht="56.25" customHeight="1">
      <c r="A1" s="713" t="s">
        <v>131</v>
      </c>
      <c r="B1" s="713"/>
      <c r="C1" s="713"/>
      <c r="D1" s="713"/>
      <c r="E1" s="713"/>
      <c r="F1" s="713"/>
      <c r="G1" s="713"/>
      <c r="H1" s="713"/>
      <c r="I1" s="713"/>
    </row>
    <row r="2" spans="1:9" ht="19.5" customHeight="1">
      <c r="A2" s="714" t="s">
        <v>132</v>
      </c>
      <c r="B2" s="715"/>
      <c r="C2" s="715"/>
      <c r="D2" s="715"/>
      <c r="E2" s="715"/>
      <c r="F2" s="715"/>
      <c r="G2" s="715"/>
      <c r="H2" s="715"/>
      <c r="I2" s="715"/>
    </row>
    <row r="3" spans="1:9" s="22" customFormat="1" ht="57.75" customHeight="1">
      <c r="A3" s="18" t="s">
        <v>48</v>
      </c>
      <c r="B3" s="716" t="s">
        <v>2</v>
      </c>
      <c r="C3" s="717"/>
      <c r="D3" s="724"/>
      <c r="E3" s="44" t="s">
        <v>133</v>
      </c>
      <c r="F3" s="18" t="s">
        <v>134</v>
      </c>
      <c r="G3" s="45" t="s">
        <v>135</v>
      </c>
      <c r="H3" s="46" t="s">
        <v>136</v>
      </c>
      <c r="I3" s="21" t="s">
        <v>53</v>
      </c>
    </row>
    <row r="4" spans="1:9" s="4" customFormat="1" ht="24.95" customHeight="1">
      <c r="A4" s="701"/>
      <c r="B4" s="725" t="s">
        <v>137</v>
      </c>
      <c r="C4" s="720" t="s">
        <v>138</v>
      </c>
      <c r="D4" s="727" t="s">
        <v>139</v>
      </c>
      <c r="E4" s="47" t="s">
        <v>140</v>
      </c>
      <c r="F4" s="48">
        <v>10</v>
      </c>
      <c r="G4" s="48">
        <v>50</v>
      </c>
      <c r="H4" s="49">
        <f t="shared" ref="H4:H21" si="0">G4*F4</f>
        <v>500</v>
      </c>
      <c r="I4" s="50"/>
    </row>
    <row r="5" spans="1:9" s="4" customFormat="1" ht="24.95" customHeight="1">
      <c r="A5" s="701"/>
      <c r="B5" s="725"/>
      <c r="C5" s="720"/>
      <c r="D5" s="727"/>
      <c r="E5" s="47" t="s">
        <v>141</v>
      </c>
      <c r="F5" s="48">
        <v>10</v>
      </c>
      <c r="G5" s="48">
        <v>250</v>
      </c>
      <c r="H5" s="49">
        <f t="shared" si="0"/>
        <v>2500</v>
      </c>
      <c r="I5" s="50"/>
    </row>
    <row r="6" spans="1:9" s="4" customFormat="1" ht="24.95" customHeight="1">
      <c r="A6" s="701"/>
      <c r="B6" s="725"/>
      <c r="C6" s="720"/>
      <c r="D6" s="727"/>
      <c r="E6" s="47" t="s">
        <v>142</v>
      </c>
      <c r="F6" s="48">
        <v>4</v>
      </c>
      <c r="G6" s="48">
        <v>500</v>
      </c>
      <c r="H6" s="49">
        <f t="shared" si="0"/>
        <v>2000</v>
      </c>
      <c r="I6" s="50"/>
    </row>
    <row r="7" spans="1:9" s="4" customFormat="1" ht="24.95" customHeight="1">
      <c r="A7" s="701"/>
      <c r="B7" s="725"/>
      <c r="C7" s="720"/>
      <c r="D7" s="727"/>
      <c r="E7" s="47" t="s">
        <v>143</v>
      </c>
      <c r="F7" s="48">
        <v>5</v>
      </c>
      <c r="G7" s="48">
        <v>150</v>
      </c>
      <c r="H7" s="49">
        <f t="shared" si="0"/>
        <v>750</v>
      </c>
      <c r="I7" s="50"/>
    </row>
    <row r="8" spans="1:9" s="4" customFormat="1" ht="24.95" customHeight="1">
      <c r="A8" s="701"/>
      <c r="B8" s="725"/>
      <c r="C8" s="720"/>
      <c r="D8" s="727"/>
      <c r="E8" s="47" t="s">
        <v>144</v>
      </c>
      <c r="F8" s="48">
        <v>5</v>
      </c>
      <c r="G8" s="48">
        <v>200</v>
      </c>
      <c r="H8" s="49">
        <f t="shared" si="0"/>
        <v>1000</v>
      </c>
      <c r="I8" s="50"/>
    </row>
    <row r="9" spans="1:9" s="4" customFormat="1" ht="24.95" customHeight="1">
      <c r="A9" s="701"/>
      <c r="B9" s="725"/>
      <c r="C9" s="720"/>
      <c r="D9" s="727"/>
      <c r="E9" s="47" t="s">
        <v>145</v>
      </c>
      <c r="F9" s="48">
        <v>2</v>
      </c>
      <c r="G9" s="48">
        <v>80</v>
      </c>
      <c r="H9" s="49">
        <f t="shared" si="0"/>
        <v>160</v>
      </c>
      <c r="I9" s="50"/>
    </row>
    <row r="10" spans="1:9" s="4" customFormat="1" ht="24.95" customHeight="1">
      <c r="A10" s="701"/>
      <c r="B10" s="725"/>
      <c r="C10" s="720"/>
      <c r="D10" s="727"/>
      <c r="E10" s="47" t="s">
        <v>146</v>
      </c>
      <c r="F10" s="48">
        <v>1</v>
      </c>
      <c r="G10" s="48">
        <v>30</v>
      </c>
      <c r="H10" s="49">
        <f>G10*F10</f>
        <v>30</v>
      </c>
      <c r="I10" s="50"/>
    </row>
    <row r="11" spans="1:9" s="4" customFormat="1" ht="24.95" customHeight="1">
      <c r="A11" s="701"/>
      <c r="B11" s="725"/>
      <c r="C11" s="720"/>
      <c r="D11" s="727"/>
      <c r="E11" s="47" t="s">
        <v>147</v>
      </c>
      <c r="F11" s="48">
        <v>5</v>
      </c>
      <c r="G11" s="48">
        <v>15</v>
      </c>
      <c r="H11" s="49">
        <f>G11*F11</f>
        <v>75</v>
      </c>
      <c r="I11" s="50"/>
    </row>
    <row r="12" spans="1:9" s="4" customFormat="1" ht="24.95" customHeight="1">
      <c r="A12" s="701"/>
      <c r="B12" s="725"/>
      <c r="C12" s="720"/>
      <c r="D12" s="727"/>
      <c r="E12" s="47" t="s">
        <v>148</v>
      </c>
      <c r="F12" s="48">
        <v>1</v>
      </c>
      <c r="G12" s="48">
        <v>50</v>
      </c>
      <c r="H12" s="49">
        <f>G12*F12</f>
        <v>50</v>
      </c>
      <c r="I12" s="50"/>
    </row>
    <row r="13" spans="1:9" s="4" customFormat="1" ht="24.95" customHeight="1">
      <c r="A13" s="701"/>
      <c r="B13" s="725"/>
      <c r="C13" s="720"/>
      <c r="D13" s="727"/>
      <c r="E13" s="47" t="s">
        <v>149</v>
      </c>
      <c r="F13" s="48">
        <v>3</v>
      </c>
      <c r="G13" s="48">
        <v>80</v>
      </c>
      <c r="H13" s="49">
        <f t="shared" si="0"/>
        <v>240</v>
      </c>
      <c r="I13" s="50"/>
    </row>
    <row r="14" spans="1:9" s="4" customFormat="1" ht="24.95" customHeight="1">
      <c r="A14" s="701"/>
      <c r="B14" s="725"/>
      <c r="C14" s="720"/>
      <c r="D14" s="727"/>
      <c r="E14" s="47" t="s">
        <v>150</v>
      </c>
      <c r="F14" s="48">
        <v>5</v>
      </c>
      <c r="G14" s="48">
        <v>70</v>
      </c>
      <c r="H14" s="49">
        <f t="shared" si="0"/>
        <v>350</v>
      </c>
      <c r="I14" s="50"/>
    </row>
    <row r="15" spans="1:9" s="4" customFormat="1" ht="24.95" customHeight="1">
      <c r="A15" s="701"/>
      <c r="B15" s="725"/>
      <c r="C15" s="720"/>
      <c r="D15" s="727"/>
      <c r="E15" s="47" t="s">
        <v>151</v>
      </c>
      <c r="F15" s="48">
        <v>2</v>
      </c>
      <c r="G15" s="48">
        <v>350</v>
      </c>
      <c r="H15" s="49">
        <f t="shared" si="0"/>
        <v>700</v>
      </c>
      <c r="I15" s="50"/>
    </row>
    <row r="16" spans="1:9" s="4" customFormat="1" ht="24.95" customHeight="1">
      <c r="A16" s="701"/>
      <c r="B16" s="725"/>
      <c r="C16" s="720"/>
      <c r="D16" s="727" t="s">
        <v>77</v>
      </c>
      <c r="E16" s="51" t="s">
        <v>152</v>
      </c>
      <c r="F16" s="52">
        <v>2</v>
      </c>
      <c r="G16" s="52">
        <v>1500</v>
      </c>
      <c r="H16" s="49">
        <f t="shared" si="0"/>
        <v>3000</v>
      </c>
      <c r="I16" s="50"/>
    </row>
    <row r="17" spans="1:9" s="4" customFormat="1" ht="24.95" customHeight="1">
      <c r="A17" s="701"/>
      <c r="B17" s="725"/>
      <c r="C17" s="720"/>
      <c r="D17" s="727"/>
      <c r="E17" s="51" t="s">
        <v>153</v>
      </c>
      <c r="F17" s="52">
        <v>1</v>
      </c>
      <c r="G17" s="52">
        <v>6000</v>
      </c>
      <c r="H17" s="49">
        <f t="shared" si="0"/>
        <v>6000</v>
      </c>
      <c r="I17" s="50"/>
    </row>
    <row r="18" spans="1:9" s="4" customFormat="1" ht="24.95" customHeight="1">
      <c r="A18" s="701"/>
      <c r="B18" s="725"/>
      <c r="C18" s="720"/>
      <c r="D18" s="727"/>
      <c r="E18" s="51" t="s">
        <v>154</v>
      </c>
      <c r="F18" s="52">
        <v>1</v>
      </c>
      <c r="G18" s="52">
        <v>15000</v>
      </c>
      <c r="H18" s="49">
        <f t="shared" si="0"/>
        <v>15000</v>
      </c>
      <c r="I18" s="50"/>
    </row>
    <row r="19" spans="1:9" s="4" customFormat="1" ht="24.95" customHeight="1">
      <c r="A19" s="701"/>
      <c r="B19" s="725"/>
      <c r="C19" s="720"/>
      <c r="D19" s="727"/>
      <c r="E19" s="51" t="s">
        <v>155</v>
      </c>
      <c r="F19" s="52">
        <v>1</v>
      </c>
      <c r="G19" s="52">
        <v>6000</v>
      </c>
      <c r="H19" s="49">
        <f t="shared" si="0"/>
        <v>6000</v>
      </c>
      <c r="I19" s="50"/>
    </row>
    <row r="20" spans="1:9" s="4" customFormat="1" ht="24.95" customHeight="1">
      <c r="A20" s="701"/>
      <c r="B20" s="725"/>
      <c r="C20" s="720"/>
      <c r="D20" s="727"/>
      <c r="E20" s="51" t="s">
        <v>156</v>
      </c>
      <c r="F20" s="52">
        <v>1</v>
      </c>
      <c r="G20" s="52">
        <v>8000</v>
      </c>
      <c r="H20" s="49">
        <f t="shared" si="0"/>
        <v>8000</v>
      </c>
      <c r="I20" s="50"/>
    </row>
    <row r="21" spans="1:9" s="4" customFormat="1" ht="24.95" customHeight="1">
      <c r="A21" s="701"/>
      <c r="B21" s="725"/>
      <c r="C21" s="726"/>
      <c r="D21" s="727"/>
      <c r="E21" s="51" t="s">
        <v>157</v>
      </c>
      <c r="F21" s="52">
        <v>3</v>
      </c>
      <c r="G21" s="52">
        <v>700</v>
      </c>
      <c r="H21" s="49">
        <f t="shared" si="0"/>
        <v>2100</v>
      </c>
      <c r="I21" s="50"/>
    </row>
    <row r="22" spans="1:9" s="4" customFormat="1" ht="24.95" customHeight="1">
      <c r="A22" s="701"/>
      <c r="B22" s="725"/>
      <c r="C22" s="728" t="s">
        <v>127</v>
      </c>
      <c r="D22" s="730" t="s">
        <v>158</v>
      </c>
      <c r="E22" s="47" t="s">
        <v>159</v>
      </c>
      <c r="F22" s="48">
        <v>20</v>
      </c>
      <c r="G22" s="48">
        <v>5</v>
      </c>
      <c r="H22" s="49">
        <f>G22*F22</f>
        <v>100</v>
      </c>
      <c r="I22" s="50"/>
    </row>
    <row r="23" spans="1:9" s="4" customFormat="1" ht="24.95" customHeight="1">
      <c r="A23" s="701"/>
      <c r="B23" s="725"/>
      <c r="C23" s="729"/>
      <c r="D23" s="730"/>
      <c r="E23" s="47" t="s">
        <v>160</v>
      </c>
      <c r="F23" s="48">
        <v>10</v>
      </c>
      <c r="G23" s="48">
        <v>25</v>
      </c>
      <c r="H23" s="49">
        <f t="shared" ref="H23:H48" si="1">G23*F23</f>
        <v>250</v>
      </c>
      <c r="I23" s="50"/>
    </row>
    <row r="24" spans="1:9" s="4" customFormat="1" ht="24.95" customHeight="1">
      <c r="A24" s="701"/>
      <c r="B24" s="725"/>
      <c r="C24" s="729"/>
      <c r="D24" s="730"/>
      <c r="E24" s="47" t="s">
        <v>161</v>
      </c>
      <c r="F24" s="48">
        <v>50</v>
      </c>
      <c r="G24" s="48">
        <v>4</v>
      </c>
      <c r="H24" s="49">
        <f t="shared" si="1"/>
        <v>200</v>
      </c>
      <c r="I24" s="50"/>
    </row>
    <row r="25" spans="1:9" s="4" customFormat="1" ht="24.95" customHeight="1">
      <c r="A25" s="701"/>
      <c r="B25" s="725"/>
      <c r="C25" s="729"/>
      <c r="D25" s="730"/>
      <c r="E25" s="47" t="s">
        <v>162</v>
      </c>
      <c r="F25" s="48">
        <v>20</v>
      </c>
      <c r="G25" s="48">
        <v>5</v>
      </c>
      <c r="H25" s="49">
        <f t="shared" si="1"/>
        <v>100</v>
      </c>
      <c r="I25" s="50"/>
    </row>
    <row r="26" spans="1:9" s="4" customFormat="1" ht="24.95" customHeight="1">
      <c r="A26" s="701"/>
      <c r="B26" s="725"/>
      <c r="C26" s="729"/>
      <c r="D26" s="730"/>
      <c r="E26" s="47" t="s">
        <v>163</v>
      </c>
      <c r="F26" s="48">
        <v>20</v>
      </c>
      <c r="G26" s="48">
        <v>5</v>
      </c>
      <c r="H26" s="49">
        <f t="shared" si="1"/>
        <v>100</v>
      </c>
      <c r="I26" s="50"/>
    </row>
    <row r="27" spans="1:9" s="4" customFormat="1" ht="24.95" customHeight="1">
      <c r="A27" s="701"/>
      <c r="B27" s="725"/>
      <c r="C27" s="729"/>
      <c r="D27" s="730"/>
      <c r="E27" s="47" t="s">
        <v>164</v>
      </c>
      <c r="F27" s="48">
        <v>10</v>
      </c>
      <c r="G27" s="48">
        <v>25</v>
      </c>
      <c r="H27" s="49">
        <f t="shared" si="1"/>
        <v>250</v>
      </c>
      <c r="I27" s="50"/>
    </row>
    <row r="28" spans="1:9" s="4" customFormat="1" ht="24.95" customHeight="1">
      <c r="A28" s="701"/>
      <c r="B28" s="725"/>
      <c r="C28" s="729"/>
      <c r="D28" s="730"/>
      <c r="E28" s="47" t="s">
        <v>165</v>
      </c>
      <c r="F28" s="48">
        <v>10</v>
      </c>
      <c r="G28" s="48">
        <v>20</v>
      </c>
      <c r="H28" s="49">
        <f t="shared" si="1"/>
        <v>200</v>
      </c>
      <c r="I28" s="50"/>
    </row>
    <row r="29" spans="1:9" s="4" customFormat="1" ht="24.95" customHeight="1">
      <c r="A29" s="701"/>
      <c r="B29" s="725"/>
      <c r="C29" s="729"/>
      <c r="D29" s="730"/>
      <c r="E29" s="47" t="s">
        <v>166</v>
      </c>
      <c r="F29" s="48">
        <v>10</v>
      </c>
      <c r="G29" s="48">
        <v>30</v>
      </c>
      <c r="H29" s="49">
        <f t="shared" si="1"/>
        <v>300</v>
      </c>
      <c r="I29" s="50"/>
    </row>
    <row r="30" spans="1:9" s="4" customFormat="1" ht="24.95" customHeight="1">
      <c r="A30" s="701"/>
      <c r="B30" s="725"/>
      <c r="C30" s="729"/>
      <c r="D30" s="730"/>
      <c r="E30" s="47" t="s">
        <v>167</v>
      </c>
      <c r="F30" s="48">
        <v>10</v>
      </c>
      <c r="G30" s="48">
        <v>30</v>
      </c>
      <c r="H30" s="49">
        <f t="shared" si="1"/>
        <v>300</v>
      </c>
      <c r="I30" s="50"/>
    </row>
    <row r="31" spans="1:9" s="4" customFormat="1" ht="24.95" customHeight="1">
      <c r="A31" s="701"/>
      <c r="B31" s="725"/>
      <c r="C31" s="729"/>
      <c r="D31" s="730"/>
      <c r="E31" s="47" t="s">
        <v>168</v>
      </c>
      <c r="F31" s="48">
        <v>10</v>
      </c>
      <c r="G31" s="48">
        <v>30</v>
      </c>
      <c r="H31" s="49">
        <f t="shared" si="1"/>
        <v>300</v>
      </c>
      <c r="I31" s="50"/>
    </row>
    <row r="32" spans="1:9" s="4" customFormat="1" ht="24.95" customHeight="1">
      <c r="A32" s="701"/>
      <c r="B32" s="725"/>
      <c r="C32" s="729"/>
      <c r="D32" s="730"/>
      <c r="E32" s="47" t="s">
        <v>169</v>
      </c>
      <c r="F32" s="48">
        <v>10</v>
      </c>
      <c r="G32" s="48">
        <v>40</v>
      </c>
      <c r="H32" s="49">
        <f t="shared" si="1"/>
        <v>400</v>
      </c>
      <c r="I32" s="50"/>
    </row>
    <row r="33" spans="1:9" s="4" customFormat="1" ht="24.95" customHeight="1">
      <c r="A33" s="701"/>
      <c r="B33" s="725"/>
      <c r="C33" s="729"/>
      <c r="D33" s="730"/>
      <c r="E33" s="47" t="s">
        <v>170</v>
      </c>
      <c r="F33" s="48">
        <v>100</v>
      </c>
      <c r="G33" s="48">
        <v>35</v>
      </c>
      <c r="H33" s="49">
        <f t="shared" si="1"/>
        <v>3500</v>
      </c>
      <c r="I33" s="50"/>
    </row>
    <row r="34" spans="1:9" s="4" customFormat="1" ht="24.95" customHeight="1">
      <c r="A34" s="701"/>
      <c r="B34" s="725"/>
      <c r="C34" s="729"/>
      <c r="D34" s="730"/>
      <c r="E34" s="47" t="s">
        <v>171</v>
      </c>
      <c r="F34" s="48">
        <v>10</v>
      </c>
      <c r="G34" s="48">
        <v>50</v>
      </c>
      <c r="H34" s="49">
        <f t="shared" si="1"/>
        <v>500</v>
      </c>
      <c r="I34" s="50"/>
    </row>
    <row r="35" spans="1:9" s="4" customFormat="1" ht="24.95" customHeight="1">
      <c r="A35" s="701"/>
      <c r="B35" s="725"/>
      <c r="C35" s="729"/>
      <c r="D35" s="730"/>
      <c r="E35" s="47" t="s">
        <v>172</v>
      </c>
      <c r="F35" s="48">
        <v>5</v>
      </c>
      <c r="G35" s="48">
        <v>80</v>
      </c>
      <c r="H35" s="49">
        <f t="shared" si="1"/>
        <v>400</v>
      </c>
      <c r="I35" s="50"/>
    </row>
    <row r="36" spans="1:9" s="4" customFormat="1" ht="24.95" customHeight="1">
      <c r="A36" s="701"/>
      <c r="B36" s="725"/>
      <c r="C36" s="729"/>
      <c r="D36" s="730"/>
      <c r="E36" s="47" t="s">
        <v>173</v>
      </c>
      <c r="F36" s="48">
        <v>100</v>
      </c>
      <c r="G36" s="48">
        <v>12</v>
      </c>
      <c r="H36" s="49">
        <f t="shared" si="1"/>
        <v>1200</v>
      </c>
      <c r="I36" s="50"/>
    </row>
    <row r="37" spans="1:9" s="4" customFormat="1" ht="24.95" customHeight="1">
      <c r="A37" s="701"/>
      <c r="B37" s="725"/>
      <c r="C37" s="729"/>
      <c r="D37" s="730"/>
      <c r="E37" s="47" t="s">
        <v>174</v>
      </c>
      <c r="F37" s="48">
        <v>200</v>
      </c>
      <c r="G37" s="48">
        <v>10</v>
      </c>
      <c r="H37" s="49">
        <f t="shared" si="1"/>
        <v>2000</v>
      </c>
      <c r="I37" s="50"/>
    </row>
    <row r="38" spans="1:9" s="4" customFormat="1" ht="24.95" customHeight="1">
      <c r="A38" s="701"/>
      <c r="B38" s="725"/>
      <c r="C38" s="729"/>
      <c r="D38" s="730"/>
      <c r="E38" s="47" t="s">
        <v>175</v>
      </c>
      <c r="F38" s="48">
        <v>40</v>
      </c>
      <c r="G38" s="48">
        <v>280</v>
      </c>
      <c r="H38" s="49">
        <f t="shared" si="1"/>
        <v>11200</v>
      </c>
      <c r="I38" s="50"/>
    </row>
    <row r="39" spans="1:9" s="4" customFormat="1" ht="24.95" customHeight="1">
      <c r="A39" s="701"/>
      <c r="B39" s="725"/>
      <c r="C39" s="729"/>
      <c r="D39" s="730"/>
      <c r="E39" s="47" t="s">
        <v>176</v>
      </c>
      <c r="F39" s="48">
        <v>10</v>
      </c>
      <c r="G39" s="48">
        <v>300</v>
      </c>
      <c r="H39" s="49">
        <f t="shared" si="1"/>
        <v>3000</v>
      </c>
      <c r="I39" s="50"/>
    </row>
    <row r="40" spans="1:9" s="4" customFormat="1" ht="24.95" customHeight="1">
      <c r="A40" s="701"/>
      <c r="B40" s="725"/>
      <c r="C40" s="729"/>
      <c r="D40" s="730"/>
      <c r="E40" s="47" t="s">
        <v>177</v>
      </c>
      <c r="F40" s="48">
        <v>50</v>
      </c>
      <c r="G40" s="48">
        <v>5</v>
      </c>
      <c r="H40" s="49">
        <f t="shared" si="1"/>
        <v>250</v>
      </c>
      <c r="I40" s="50"/>
    </row>
    <row r="41" spans="1:9" s="4" customFormat="1" ht="24.95" customHeight="1">
      <c r="A41" s="701"/>
      <c r="B41" s="725"/>
      <c r="C41" s="729"/>
      <c r="D41" s="730"/>
      <c r="E41" s="47" t="s">
        <v>178</v>
      </c>
      <c r="F41" s="48">
        <v>200</v>
      </c>
      <c r="G41" s="48">
        <v>120</v>
      </c>
      <c r="H41" s="49">
        <f t="shared" si="1"/>
        <v>24000</v>
      </c>
      <c r="I41" s="50"/>
    </row>
    <row r="42" spans="1:9" s="4" customFormat="1" ht="24.95" customHeight="1">
      <c r="A42" s="701"/>
      <c r="B42" s="725"/>
      <c r="C42" s="729"/>
      <c r="D42" s="730"/>
      <c r="E42" s="47" t="s">
        <v>179</v>
      </c>
      <c r="F42" s="48">
        <v>10</v>
      </c>
      <c r="G42" s="48">
        <v>20</v>
      </c>
      <c r="H42" s="49">
        <f t="shared" si="1"/>
        <v>200</v>
      </c>
      <c r="I42" s="50"/>
    </row>
    <row r="43" spans="1:9" s="4" customFormat="1" ht="24.95" customHeight="1">
      <c r="A43" s="701"/>
      <c r="B43" s="725"/>
      <c r="C43" s="729"/>
      <c r="D43" s="730"/>
      <c r="E43" s="47" t="s">
        <v>180</v>
      </c>
      <c r="F43" s="48">
        <v>20</v>
      </c>
      <c r="G43" s="48">
        <v>20</v>
      </c>
      <c r="H43" s="49">
        <f t="shared" si="1"/>
        <v>400</v>
      </c>
      <c r="I43" s="50"/>
    </row>
    <row r="44" spans="1:9" s="4" customFormat="1" ht="24.95" customHeight="1">
      <c r="A44" s="701"/>
      <c r="B44" s="725"/>
      <c r="C44" s="729"/>
      <c r="D44" s="730"/>
      <c r="E44" s="47" t="s">
        <v>181</v>
      </c>
      <c r="F44" s="48">
        <v>20</v>
      </c>
      <c r="G44" s="48">
        <v>30</v>
      </c>
      <c r="H44" s="49">
        <f t="shared" si="1"/>
        <v>600</v>
      </c>
      <c r="I44" s="50"/>
    </row>
    <row r="45" spans="1:9" s="4" customFormat="1" ht="24.95" customHeight="1">
      <c r="A45" s="701"/>
      <c r="B45" s="725"/>
      <c r="C45" s="729"/>
      <c r="D45" s="730"/>
      <c r="E45" s="47" t="s">
        <v>182</v>
      </c>
      <c r="F45" s="48">
        <v>20</v>
      </c>
      <c r="G45" s="48">
        <v>25</v>
      </c>
      <c r="H45" s="49">
        <f t="shared" si="1"/>
        <v>500</v>
      </c>
      <c r="I45" s="50"/>
    </row>
    <row r="46" spans="1:9" s="4" customFormat="1" ht="24.95" customHeight="1">
      <c r="A46" s="701"/>
      <c r="B46" s="725"/>
      <c r="C46" s="729"/>
      <c r="D46" s="730"/>
      <c r="E46" s="47" t="s">
        <v>183</v>
      </c>
      <c r="F46" s="48">
        <v>10</v>
      </c>
      <c r="G46" s="48">
        <v>25</v>
      </c>
      <c r="H46" s="49">
        <f t="shared" si="1"/>
        <v>250</v>
      </c>
      <c r="I46" s="50"/>
    </row>
    <row r="47" spans="1:9" s="4" customFormat="1" ht="24.95" customHeight="1">
      <c r="A47" s="701"/>
      <c r="B47" s="725"/>
      <c r="C47" s="729"/>
      <c r="D47" s="730"/>
      <c r="E47" s="47" t="s">
        <v>184</v>
      </c>
      <c r="F47" s="48">
        <v>5</v>
      </c>
      <c r="G47" s="48">
        <v>50</v>
      </c>
      <c r="H47" s="49">
        <f t="shared" si="1"/>
        <v>250</v>
      </c>
      <c r="I47" s="50"/>
    </row>
    <row r="48" spans="1:9" s="4" customFormat="1" ht="24.95" customHeight="1">
      <c r="A48" s="701"/>
      <c r="B48" s="725"/>
      <c r="C48" s="729"/>
      <c r="D48" s="731"/>
      <c r="E48" s="47" t="s">
        <v>185</v>
      </c>
      <c r="F48" s="48">
        <v>10</v>
      </c>
      <c r="G48" s="48">
        <v>25</v>
      </c>
      <c r="H48" s="49">
        <f t="shared" si="1"/>
        <v>250</v>
      </c>
      <c r="I48" s="50"/>
    </row>
    <row r="49" spans="1:9" s="4" customFormat="1" ht="24.95" customHeight="1">
      <c r="A49" s="701"/>
      <c r="B49" s="725"/>
      <c r="C49" s="729"/>
      <c r="D49" s="719" t="s">
        <v>77</v>
      </c>
      <c r="E49" s="721" t="s">
        <v>186</v>
      </c>
      <c r="F49" s="48">
        <v>5</v>
      </c>
      <c r="G49" s="48">
        <v>2000</v>
      </c>
      <c r="H49" s="49">
        <f>G49*F49</f>
        <v>10000</v>
      </c>
      <c r="I49" s="47" t="s">
        <v>187</v>
      </c>
    </row>
    <row r="50" spans="1:9" s="4" customFormat="1" ht="24.95" customHeight="1">
      <c r="A50" s="701"/>
      <c r="B50" s="725"/>
      <c r="C50" s="729"/>
      <c r="D50" s="720"/>
      <c r="E50" s="722"/>
      <c r="F50" s="48">
        <v>5</v>
      </c>
      <c r="G50" s="48">
        <v>2000</v>
      </c>
      <c r="H50" s="49">
        <f>G50*F50</f>
        <v>10000</v>
      </c>
      <c r="I50" s="47" t="s">
        <v>188</v>
      </c>
    </row>
    <row r="51" spans="1:9" s="4" customFormat="1" ht="24.95" customHeight="1">
      <c r="A51" s="701"/>
      <c r="B51" s="725"/>
      <c r="C51" s="729"/>
      <c r="D51" s="720"/>
      <c r="E51" s="47" t="s">
        <v>189</v>
      </c>
      <c r="F51" s="48">
        <v>10</v>
      </c>
      <c r="G51" s="48">
        <v>280</v>
      </c>
      <c r="H51" s="49">
        <f t="shared" ref="H51:H58" si="2">G51*F51</f>
        <v>2800</v>
      </c>
      <c r="I51" s="47" t="s">
        <v>190</v>
      </c>
    </row>
    <row r="52" spans="1:9" s="4" customFormat="1" ht="24.95" customHeight="1">
      <c r="A52" s="701"/>
      <c r="B52" s="725"/>
      <c r="C52" s="729"/>
      <c r="D52" s="720"/>
      <c r="E52" s="47" t="s">
        <v>191</v>
      </c>
      <c r="F52" s="48">
        <v>50</v>
      </c>
      <c r="G52" s="48">
        <v>10</v>
      </c>
      <c r="H52" s="49">
        <f t="shared" si="2"/>
        <v>500</v>
      </c>
      <c r="I52" s="47" t="s">
        <v>192</v>
      </c>
    </row>
    <row r="53" spans="1:9" s="4" customFormat="1" ht="24.95" customHeight="1">
      <c r="A53" s="701"/>
      <c r="B53" s="725"/>
      <c r="C53" s="729"/>
      <c r="D53" s="720"/>
      <c r="E53" s="47" t="s">
        <v>193</v>
      </c>
      <c r="F53" s="48">
        <v>50</v>
      </c>
      <c r="G53" s="48">
        <v>15</v>
      </c>
      <c r="H53" s="49">
        <f t="shared" si="2"/>
        <v>750</v>
      </c>
      <c r="I53" s="47" t="s">
        <v>194</v>
      </c>
    </row>
    <row r="54" spans="1:9" s="4" customFormat="1" ht="24.95" customHeight="1">
      <c r="A54" s="701"/>
      <c r="B54" s="725"/>
      <c r="C54" s="729"/>
      <c r="D54" s="720"/>
      <c r="E54" s="47" t="s">
        <v>195</v>
      </c>
      <c r="F54" s="48">
        <v>50</v>
      </c>
      <c r="G54" s="48">
        <v>40</v>
      </c>
      <c r="H54" s="49">
        <f t="shared" si="2"/>
        <v>2000</v>
      </c>
      <c r="I54" s="47" t="s">
        <v>196</v>
      </c>
    </row>
    <row r="55" spans="1:9" s="4" customFormat="1" ht="24.95" customHeight="1">
      <c r="A55" s="701"/>
      <c r="B55" s="725"/>
      <c r="C55" s="729"/>
      <c r="D55" s="720"/>
      <c r="E55" s="47" t="s">
        <v>197</v>
      </c>
      <c r="F55" s="48">
        <v>10</v>
      </c>
      <c r="G55" s="48">
        <v>120</v>
      </c>
      <c r="H55" s="49">
        <f t="shared" si="2"/>
        <v>1200</v>
      </c>
      <c r="I55" s="47" t="s">
        <v>198</v>
      </c>
    </row>
    <row r="56" spans="1:9" s="4" customFormat="1" ht="24.95" customHeight="1">
      <c r="A56" s="701"/>
      <c r="B56" s="725"/>
      <c r="C56" s="729"/>
      <c r="D56" s="720"/>
      <c r="E56" s="47" t="s">
        <v>199</v>
      </c>
      <c r="F56" s="48">
        <v>40</v>
      </c>
      <c r="G56" s="48">
        <v>30</v>
      </c>
      <c r="H56" s="49">
        <f t="shared" si="2"/>
        <v>1200</v>
      </c>
      <c r="I56" s="47" t="s">
        <v>200</v>
      </c>
    </row>
    <row r="57" spans="1:9" s="4" customFormat="1" ht="24.95" customHeight="1">
      <c r="A57" s="701"/>
      <c r="B57" s="725"/>
      <c r="C57" s="729"/>
      <c r="D57" s="720"/>
      <c r="E57" s="47" t="s">
        <v>201</v>
      </c>
      <c r="F57" s="48">
        <v>50</v>
      </c>
      <c r="G57" s="48">
        <v>60</v>
      </c>
      <c r="H57" s="49">
        <f t="shared" si="2"/>
        <v>3000</v>
      </c>
      <c r="I57" s="47" t="s">
        <v>202</v>
      </c>
    </row>
    <row r="58" spans="1:9" s="4" customFormat="1" ht="24.95" customHeight="1">
      <c r="A58" s="701"/>
      <c r="B58" s="725"/>
      <c r="C58" s="729"/>
      <c r="D58" s="720"/>
      <c r="E58" s="47" t="s">
        <v>203</v>
      </c>
      <c r="F58" s="48">
        <v>30</v>
      </c>
      <c r="G58" s="48">
        <v>40</v>
      </c>
      <c r="H58" s="49">
        <f t="shared" si="2"/>
        <v>1200</v>
      </c>
      <c r="I58" s="47" t="s">
        <v>204</v>
      </c>
    </row>
    <row r="59" spans="1:9" ht="19.5">
      <c r="A59" s="16"/>
      <c r="B59" s="723" t="s">
        <v>5</v>
      </c>
      <c r="C59" s="723"/>
      <c r="D59" s="723"/>
      <c r="E59" s="53"/>
      <c r="F59" s="53"/>
      <c r="G59" s="53"/>
      <c r="H59" s="54">
        <f>SUM(H4:H58)</f>
        <v>132105</v>
      </c>
      <c r="I59" s="53"/>
    </row>
    <row r="60" spans="1:9" s="17" customFormat="1" ht="42" customHeight="1">
      <c r="A60" s="667" t="s">
        <v>91</v>
      </c>
      <c r="B60" s="668"/>
      <c r="C60" s="668"/>
      <c r="D60" s="668"/>
      <c r="E60" s="668"/>
      <c r="F60" s="668"/>
      <c r="G60" s="668"/>
      <c r="H60" s="668"/>
      <c r="I60" s="669"/>
    </row>
  </sheetData>
  <mergeCells count="14">
    <mergeCell ref="D49:D58"/>
    <mergeCell ref="E49:E50"/>
    <mergeCell ref="B59:D59"/>
    <mergeCell ref="A60:I60"/>
    <mergeCell ref="A1:I1"/>
    <mergeCell ref="A2:I2"/>
    <mergeCell ref="B3:D3"/>
    <mergeCell ref="A4:A58"/>
    <mergeCell ref="B4:B58"/>
    <mergeCell ref="C4:C21"/>
    <mergeCell ref="D4:D15"/>
    <mergeCell ref="D16:D21"/>
    <mergeCell ref="C22:C58"/>
    <mergeCell ref="D22:D4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4BAD-F69E-4ADE-B930-95360956410B}">
  <dimension ref="A1:K91"/>
  <sheetViews>
    <sheetView workbookViewId="0">
      <selection activeCell="K59" sqref="K59"/>
    </sheetView>
  </sheetViews>
  <sheetFormatPr defaultColWidth="8" defaultRowHeight="15.75"/>
  <cols>
    <col min="1" max="1" width="6.42578125" style="75" customWidth="1"/>
    <col min="2" max="2" width="24.7109375" style="55" customWidth="1"/>
    <col min="3" max="3" width="20.140625" style="55" customWidth="1"/>
    <col min="4" max="4" width="16.140625" style="55" bestFit="1" customWidth="1"/>
    <col min="5" max="5" width="47.5703125" style="55" bestFit="1" customWidth="1"/>
    <col min="6" max="6" width="13.7109375" style="55" customWidth="1"/>
    <col min="7" max="7" width="8" style="55" bestFit="1"/>
    <col min="8" max="8" width="16.7109375" style="86" customWidth="1"/>
    <col min="9" max="9" width="16.140625" style="55" customWidth="1"/>
    <col min="10" max="10" width="15.42578125" style="55" bestFit="1" customWidth="1"/>
    <col min="11" max="11" width="39.7109375" style="55" bestFit="1" customWidth="1"/>
    <col min="12" max="16384" width="8" style="55"/>
  </cols>
  <sheetData>
    <row r="1" spans="1:10" ht="56.25" customHeight="1">
      <c r="A1" s="741" t="s">
        <v>205</v>
      </c>
      <c r="B1" s="741"/>
      <c r="C1" s="741"/>
      <c r="D1" s="741"/>
      <c r="E1" s="741"/>
      <c r="F1" s="741"/>
      <c r="G1" s="741"/>
      <c r="H1" s="741"/>
      <c r="I1" s="741"/>
      <c r="J1" s="741"/>
    </row>
    <row r="2" spans="1:10" ht="19.5" customHeight="1">
      <c r="A2" s="742" t="s">
        <v>206</v>
      </c>
      <c r="B2" s="743"/>
      <c r="C2" s="743"/>
      <c r="D2" s="743"/>
      <c r="E2" s="743"/>
      <c r="F2" s="743"/>
      <c r="G2" s="743"/>
      <c r="H2" s="743"/>
      <c r="I2" s="743"/>
      <c r="J2" s="743"/>
    </row>
    <row r="3" spans="1:10" s="60" customFormat="1" ht="34.5" customHeight="1">
      <c r="A3" s="56" t="s">
        <v>207</v>
      </c>
      <c r="B3" s="744" t="s">
        <v>2</v>
      </c>
      <c r="C3" s="745"/>
      <c r="D3" s="746"/>
      <c r="E3" s="58" t="s">
        <v>49</v>
      </c>
      <c r="F3" s="56" t="s">
        <v>50</v>
      </c>
      <c r="G3" s="56"/>
      <c r="H3" s="58" t="s">
        <v>51</v>
      </c>
      <c r="I3" s="57" t="s">
        <v>52</v>
      </c>
      <c r="J3" s="59" t="s">
        <v>53</v>
      </c>
    </row>
    <row r="4" spans="1:10" s="64" customFormat="1" ht="17.25" customHeight="1">
      <c r="A4" s="747">
        <v>1</v>
      </c>
      <c r="B4" s="735" t="s">
        <v>34</v>
      </c>
      <c r="C4" s="735" t="s">
        <v>138</v>
      </c>
      <c r="D4" s="735" t="s">
        <v>139</v>
      </c>
      <c r="E4" s="61" t="s">
        <v>208</v>
      </c>
      <c r="F4" s="61">
        <v>1</v>
      </c>
      <c r="G4" s="62" t="s">
        <v>209</v>
      </c>
      <c r="H4" s="33">
        <v>59000</v>
      </c>
      <c r="I4" s="61">
        <f>F4*H4</f>
        <v>59000</v>
      </c>
      <c r="J4" s="63"/>
    </row>
    <row r="5" spans="1:10" s="64" customFormat="1" ht="17.25" customHeight="1">
      <c r="A5" s="747"/>
      <c r="B5" s="735"/>
      <c r="C5" s="735"/>
      <c r="D5" s="735"/>
      <c r="E5" s="65" t="s">
        <v>210</v>
      </c>
      <c r="F5" s="66">
        <v>2</v>
      </c>
      <c r="G5" s="62" t="s">
        <v>209</v>
      </c>
      <c r="H5" s="33">
        <v>13124</v>
      </c>
      <c r="I5" s="61">
        <f t="shared" ref="I5:I72" si="0">F5*H5</f>
        <v>26248</v>
      </c>
      <c r="J5" s="63"/>
    </row>
    <row r="6" spans="1:10" s="64" customFormat="1" ht="17.25" customHeight="1">
      <c r="A6" s="747"/>
      <c r="B6" s="735"/>
      <c r="C6" s="735"/>
      <c r="D6" s="735"/>
      <c r="E6" s="67" t="s">
        <v>211</v>
      </c>
      <c r="F6" s="62">
        <v>2</v>
      </c>
      <c r="G6" s="62" t="s">
        <v>209</v>
      </c>
      <c r="H6" s="68">
        <v>411.02</v>
      </c>
      <c r="I6" s="61">
        <f>F6*H6</f>
        <v>822.04</v>
      </c>
      <c r="J6" s="63"/>
    </row>
    <row r="7" spans="1:10" s="64" customFormat="1" ht="17.25" customHeight="1">
      <c r="A7" s="747"/>
      <c r="B7" s="735"/>
      <c r="C7" s="735"/>
      <c r="D7" s="735"/>
      <c r="E7" s="65" t="s">
        <v>212</v>
      </c>
      <c r="F7" s="66">
        <v>2</v>
      </c>
      <c r="G7" s="62" t="s">
        <v>209</v>
      </c>
      <c r="H7" s="33">
        <v>1940</v>
      </c>
      <c r="I7" s="61">
        <f t="shared" si="0"/>
        <v>3880</v>
      </c>
      <c r="J7" s="63"/>
    </row>
    <row r="8" spans="1:10" s="64" customFormat="1" ht="17.25" customHeight="1">
      <c r="A8" s="747"/>
      <c r="B8" s="735"/>
      <c r="C8" s="735"/>
      <c r="D8" s="735"/>
      <c r="E8" s="65" t="s">
        <v>213</v>
      </c>
      <c r="F8" s="66">
        <v>10</v>
      </c>
      <c r="G8" s="62" t="s">
        <v>209</v>
      </c>
      <c r="H8" s="33">
        <v>152</v>
      </c>
      <c r="I8" s="61">
        <f>F8*H8</f>
        <v>1520</v>
      </c>
      <c r="J8" s="63"/>
    </row>
    <row r="9" spans="1:10" s="64" customFormat="1" ht="17.25" customHeight="1">
      <c r="A9" s="747"/>
      <c r="B9" s="735"/>
      <c r="C9" s="735"/>
      <c r="D9" s="735"/>
      <c r="E9" s="65" t="s">
        <v>214</v>
      </c>
      <c r="F9" s="69">
        <v>5</v>
      </c>
      <c r="G9" s="66" t="s">
        <v>209</v>
      </c>
      <c r="H9" s="68">
        <v>67.8</v>
      </c>
      <c r="I9" s="61">
        <f>F9*H9</f>
        <v>339</v>
      </c>
      <c r="J9" s="63"/>
    </row>
    <row r="10" spans="1:10" s="64" customFormat="1" ht="17.25" customHeight="1">
      <c r="A10" s="747"/>
      <c r="B10" s="735"/>
      <c r="C10" s="735"/>
      <c r="D10" s="735"/>
      <c r="E10" s="63" t="s">
        <v>215</v>
      </c>
      <c r="F10" s="63">
        <v>10</v>
      </c>
      <c r="G10" s="66" t="s">
        <v>209</v>
      </c>
      <c r="H10" s="70">
        <v>98</v>
      </c>
      <c r="I10" s="61">
        <f>F10*H10</f>
        <v>980</v>
      </c>
      <c r="J10" s="63"/>
    </row>
    <row r="11" spans="1:10" s="64" customFormat="1" ht="17.25" customHeight="1">
      <c r="A11" s="747"/>
      <c r="B11" s="735"/>
      <c r="C11" s="748" t="s">
        <v>127</v>
      </c>
      <c r="D11" s="748" t="s">
        <v>139</v>
      </c>
      <c r="E11" s="63" t="s">
        <v>216</v>
      </c>
      <c r="F11" s="63">
        <v>3</v>
      </c>
      <c r="G11" s="66" t="s">
        <v>209</v>
      </c>
      <c r="H11" s="70">
        <v>11000</v>
      </c>
      <c r="I11" s="61">
        <f>F11*H11</f>
        <v>33000</v>
      </c>
      <c r="J11" s="63"/>
    </row>
    <row r="12" spans="1:10" s="64" customFormat="1" ht="17.25" customHeight="1">
      <c r="A12" s="747"/>
      <c r="B12" s="735"/>
      <c r="C12" s="749"/>
      <c r="D12" s="749"/>
      <c r="E12" s="63" t="s">
        <v>217</v>
      </c>
      <c r="F12" s="63">
        <v>1</v>
      </c>
      <c r="G12" s="66" t="s">
        <v>209</v>
      </c>
      <c r="H12" s="751">
        <v>32300</v>
      </c>
      <c r="I12" s="732">
        <v>32300</v>
      </c>
      <c r="J12" s="63"/>
    </row>
    <row r="13" spans="1:10" s="64" customFormat="1" ht="17.25" customHeight="1">
      <c r="A13" s="747"/>
      <c r="B13" s="735"/>
      <c r="C13" s="749"/>
      <c r="D13" s="749"/>
      <c r="E13" s="63" t="s">
        <v>218</v>
      </c>
      <c r="F13" s="63">
        <v>1</v>
      </c>
      <c r="G13" s="66" t="s">
        <v>209</v>
      </c>
      <c r="H13" s="752"/>
      <c r="I13" s="733"/>
      <c r="J13" s="63"/>
    </row>
    <row r="14" spans="1:10" s="64" customFormat="1" ht="17.25" customHeight="1">
      <c r="A14" s="747"/>
      <c r="B14" s="735"/>
      <c r="C14" s="749"/>
      <c r="D14" s="749"/>
      <c r="E14" s="63" t="s">
        <v>219</v>
      </c>
      <c r="F14" s="63">
        <v>1</v>
      </c>
      <c r="G14" s="66" t="s">
        <v>209</v>
      </c>
      <c r="H14" s="752"/>
      <c r="I14" s="733"/>
      <c r="J14" s="63"/>
    </row>
    <row r="15" spans="1:10" s="64" customFormat="1" ht="17.25" customHeight="1">
      <c r="A15" s="747"/>
      <c r="B15" s="735"/>
      <c r="C15" s="749"/>
      <c r="D15" s="749"/>
      <c r="E15" s="63" t="s">
        <v>220</v>
      </c>
      <c r="F15" s="63">
        <v>1</v>
      </c>
      <c r="G15" s="66" t="s">
        <v>209</v>
      </c>
      <c r="H15" s="753"/>
      <c r="I15" s="734"/>
      <c r="J15" s="63"/>
    </row>
    <row r="16" spans="1:10" s="64" customFormat="1" ht="17.25" customHeight="1">
      <c r="A16" s="747"/>
      <c r="B16" s="735"/>
      <c r="C16" s="749"/>
      <c r="D16" s="749"/>
      <c r="E16" s="65" t="s">
        <v>221</v>
      </c>
      <c r="F16" s="66">
        <v>10</v>
      </c>
      <c r="G16" s="62" t="s">
        <v>209</v>
      </c>
      <c r="H16" s="68">
        <v>76.22</v>
      </c>
      <c r="I16" s="61">
        <f t="shared" ref="I16" si="1">F16*H16</f>
        <v>762.2</v>
      </c>
      <c r="J16" s="63"/>
    </row>
    <row r="17" spans="1:10" s="64" customFormat="1" ht="17.25" customHeight="1">
      <c r="A17" s="747"/>
      <c r="B17" s="735"/>
      <c r="C17" s="749"/>
      <c r="D17" s="749"/>
      <c r="E17" s="65" t="s">
        <v>222</v>
      </c>
      <c r="F17" s="66">
        <v>10</v>
      </c>
      <c r="G17" s="62" t="s">
        <v>209</v>
      </c>
      <c r="H17" s="68">
        <v>199</v>
      </c>
      <c r="I17" s="61">
        <f t="shared" si="0"/>
        <v>1990</v>
      </c>
      <c r="J17" s="63"/>
    </row>
    <row r="18" spans="1:10" s="64" customFormat="1" ht="17.25" customHeight="1">
      <c r="A18" s="747"/>
      <c r="B18" s="735"/>
      <c r="C18" s="749"/>
      <c r="D18" s="749"/>
      <c r="E18" s="67" t="s">
        <v>223</v>
      </c>
      <c r="F18" s="62">
        <v>2</v>
      </c>
      <c r="G18" s="62" t="s">
        <v>209</v>
      </c>
      <c r="H18" s="68">
        <v>76.27</v>
      </c>
      <c r="I18" s="61">
        <f t="shared" si="0"/>
        <v>152.54</v>
      </c>
      <c r="J18" s="63"/>
    </row>
    <row r="19" spans="1:10" s="64" customFormat="1" ht="17.25" customHeight="1">
      <c r="A19" s="747"/>
      <c r="B19" s="735"/>
      <c r="C19" s="749"/>
      <c r="D19" s="750"/>
      <c r="E19" s="67" t="s">
        <v>224</v>
      </c>
      <c r="F19" s="62">
        <v>2</v>
      </c>
      <c r="G19" s="62" t="s">
        <v>209</v>
      </c>
      <c r="H19" s="68">
        <v>101.69</v>
      </c>
      <c r="I19" s="61">
        <f t="shared" si="0"/>
        <v>203.38</v>
      </c>
      <c r="J19" s="63"/>
    </row>
    <row r="20" spans="1:10" s="64" customFormat="1" ht="17.25" customHeight="1">
      <c r="A20" s="747"/>
      <c r="B20" s="735"/>
      <c r="C20" s="749"/>
      <c r="D20" s="735" t="s">
        <v>77</v>
      </c>
      <c r="E20" s="63" t="s">
        <v>225</v>
      </c>
      <c r="F20" s="63">
        <v>5000</v>
      </c>
      <c r="G20" s="62" t="s">
        <v>209</v>
      </c>
      <c r="H20" s="33">
        <v>15</v>
      </c>
      <c r="I20" s="61">
        <f t="shared" si="0"/>
        <v>75000</v>
      </c>
      <c r="J20" s="63" t="s">
        <v>226</v>
      </c>
    </row>
    <row r="21" spans="1:10" s="64" customFormat="1" ht="17.25" customHeight="1">
      <c r="A21" s="747"/>
      <c r="B21" s="735"/>
      <c r="C21" s="749"/>
      <c r="D21" s="735"/>
      <c r="E21" s="63" t="s">
        <v>227</v>
      </c>
      <c r="F21" s="63">
        <v>17000</v>
      </c>
      <c r="G21" s="62" t="s">
        <v>209</v>
      </c>
      <c r="H21" s="33">
        <v>15</v>
      </c>
      <c r="I21" s="61">
        <f t="shared" si="0"/>
        <v>255000</v>
      </c>
      <c r="J21" s="63" t="s">
        <v>226</v>
      </c>
    </row>
    <row r="22" spans="1:10" s="64" customFormat="1" ht="17.25" customHeight="1">
      <c r="A22" s="747"/>
      <c r="B22" s="735"/>
      <c r="C22" s="749"/>
      <c r="D22" s="735"/>
      <c r="E22" s="71" t="s">
        <v>228</v>
      </c>
      <c r="F22" s="71">
        <v>35000</v>
      </c>
      <c r="G22" s="62" t="s">
        <v>209</v>
      </c>
      <c r="H22" s="33">
        <v>6</v>
      </c>
      <c r="I22" s="61">
        <f t="shared" si="0"/>
        <v>210000</v>
      </c>
      <c r="J22" s="63" t="s">
        <v>226</v>
      </c>
    </row>
    <row r="23" spans="1:10" s="64" customFormat="1" ht="17.25" customHeight="1">
      <c r="A23" s="747"/>
      <c r="B23" s="735"/>
      <c r="C23" s="749"/>
      <c r="D23" s="735"/>
      <c r="E23" s="71" t="s">
        <v>229</v>
      </c>
      <c r="F23" s="71">
        <v>40000</v>
      </c>
      <c r="G23" s="62" t="s">
        <v>209</v>
      </c>
      <c r="H23" s="33">
        <v>1.35</v>
      </c>
      <c r="I23" s="61">
        <f t="shared" si="0"/>
        <v>54000</v>
      </c>
      <c r="J23" s="63" t="s">
        <v>226</v>
      </c>
    </row>
    <row r="24" spans="1:10" s="64" customFormat="1" ht="17.25" customHeight="1">
      <c r="A24" s="747"/>
      <c r="B24" s="735"/>
      <c r="C24" s="749"/>
      <c r="D24" s="735"/>
      <c r="E24" s="72" t="s">
        <v>230</v>
      </c>
      <c r="F24" s="61">
        <v>3000</v>
      </c>
      <c r="G24" s="61" t="s">
        <v>209</v>
      </c>
      <c r="H24" s="33">
        <v>8.5</v>
      </c>
      <c r="I24" s="61">
        <f t="shared" si="0"/>
        <v>25500</v>
      </c>
      <c r="J24" s="63" t="s">
        <v>226</v>
      </c>
    </row>
    <row r="25" spans="1:10" s="64" customFormat="1" ht="17.25" customHeight="1">
      <c r="A25" s="747"/>
      <c r="B25" s="735"/>
      <c r="C25" s="749"/>
      <c r="D25" s="735"/>
      <c r="E25" s="72" t="s">
        <v>231</v>
      </c>
      <c r="F25" s="61">
        <v>3000</v>
      </c>
      <c r="G25" s="61" t="s">
        <v>209</v>
      </c>
      <c r="H25" s="33">
        <v>10.45</v>
      </c>
      <c r="I25" s="61">
        <f t="shared" si="0"/>
        <v>31349.999999999996</v>
      </c>
      <c r="J25" s="63" t="s">
        <v>226</v>
      </c>
    </row>
    <row r="26" spans="1:10" s="64" customFormat="1" ht="17.25" customHeight="1">
      <c r="A26" s="747"/>
      <c r="B26" s="735"/>
      <c r="C26" s="749"/>
      <c r="D26" s="735"/>
      <c r="E26" s="72" t="s">
        <v>232</v>
      </c>
      <c r="F26" s="61">
        <v>3000</v>
      </c>
      <c r="G26" s="61" t="s">
        <v>209</v>
      </c>
      <c r="H26" s="33">
        <v>6</v>
      </c>
      <c r="I26" s="61">
        <f t="shared" si="0"/>
        <v>18000</v>
      </c>
      <c r="J26" s="63" t="s">
        <v>226</v>
      </c>
    </row>
    <row r="27" spans="1:10" s="64" customFormat="1" ht="17.25" customHeight="1">
      <c r="A27" s="747"/>
      <c r="B27" s="735"/>
      <c r="C27" s="749"/>
      <c r="D27" s="735"/>
      <c r="E27" s="72" t="s">
        <v>233</v>
      </c>
      <c r="F27" s="61">
        <v>3000</v>
      </c>
      <c r="G27" s="61" t="s">
        <v>209</v>
      </c>
      <c r="H27" s="33">
        <v>17.45</v>
      </c>
      <c r="I27" s="61">
        <f t="shared" si="0"/>
        <v>52350</v>
      </c>
      <c r="J27" s="63" t="s">
        <v>226</v>
      </c>
    </row>
    <row r="28" spans="1:10" s="64" customFormat="1" ht="17.25" customHeight="1">
      <c r="A28" s="747"/>
      <c r="B28" s="735"/>
      <c r="C28" s="749"/>
      <c r="D28" s="735"/>
      <c r="E28" s="73" t="s">
        <v>234</v>
      </c>
      <c r="F28" s="61">
        <v>10</v>
      </c>
      <c r="G28" s="61" t="s">
        <v>209</v>
      </c>
      <c r="H28" s="33">
        <v>89.28</v>
      </c>
      <c r="I28" s="61">
        <f t="shared" si="0"/>
        <v>892.8</v>
      </c>
      <c r="J28" s="63"/>
    </row>
    <row r="29" spans="1:10" s="64" customFormat="1" ht="17.25" customHeight="1">
      <c r="A29" s="747"/>
      <c r="B29" s="735"/>
      <c r="C29" s="749"/>
      <c r="D29" s="735"/>
      <c r="E29" s="67" t="s">
        <v>235</v>
      </c>
      <c r="F29" s="62">
        <v>15</v>
      </c>
      <c r="G29" s="62" t="s">
        <v>209</v>
      </c>
      <c r="H29" s="33">
        <v>59.32</v>
      </c>
      <c r="I29" s="61">
        <f t="shared" si="0"/>
        <v>889.8</v>
      </c>
      <c r="J29" s="63"/>
    </row>
    <row r="30" spans="1:10" s="64" customFormat="1" ht="15.75" customHeight="1">
      <c r="A30" s="747"/>
      <c r="B30" s="735"/>
      <c r="C30" s="749"/>
      <c r="D30" s="735"/>
      <c r="E30" s="67" t="s">
        <v>236</v>
      </c>
      <c r="F30" s="62">
        <v>30</v>
      </c>
      <c r="G30" s="62" t="s">
        <v>209</v>
      </c>
      <c r="H30" s="33">
        <v>61.02</v>
      </c>
      <c r="I30" s="61">
        <f t="shared" si="0"/>
        <v>1830.6000000000001</v>
      </c>
      <c r="J30" s="63"/>
    </row>
    <row r="31" spans="1:10" s="75" customFormat="1">
      <c r="A31" s="747"/>
      <c r="B31" s="735"/>
      <c r="C31" s="749"/>
      <c r="D31" s="735"/>
      <c r="E31" s="67" t="s">
        <v>237</v>
      </c>
      <c r="F31" s="62">
        <v>10</v>
      </c>
      <c r="G31" s="62" t="s">
        <v>238</v>
      </c>
      <c r="H31" s="33">
        <v>7.2</v>
      </c>
      <c r="I31" s="61">
        <f t="shared" si="0"/>
        <v>72</v>
      </c>
      <c r="J31" s="74"/>
    </row>
    <row r="32" spans="1:10" s="77" customFormat="1">
      <c r="A32" s="747"/>
      <c r="B32" s="735"/>
      <c r="C32" s="749"/>
      <c r="D32" s="735"/>
      <c r="E32" s="67" t="s">
        <v>239</v>
      </c>
      <c r="F32" s="62">
        <v>500</v>
      </c>
      <c r="G32" s="62" t="s">
        <v>209</v>
      </c>
      <c r="H32" s="68">
        <v>2.5</v>
      </c>
      <c r="I32" s="61">
        <f t="shared" si="0"/>
        <v>1250</v>
      </c>
      <c r="J32" s="76"/>
    </row>
    <row r="33" spans="1:10" s="75" customFormat="1">
      <c r="A33" s="747"/>
      <c r="B33" s="735"/>
      <c r="C33" s="749"/>
      <c r="D33" s="735"/>
      <c r="E33" s="67" t="s">
        <v>240</v>
      </c>
      <c r="F33" s="62">
        <v>500</v>
      </c>
      <c r="G33" s="62" t="s">
        <v>209</v>
      </c>
      <c r="H33" s="78">
        <v>3</v>
      </c>
      <c r="I33" s="61">
        <f t="shared" si="0"/>
        <v>1500</v>
      </c>
      <c r="J33" s="74"/>
    </row>
    <row r="34" spans="1:10" s="75" customFormat="1">
      <c r="A34" s="747"/>
      <c r="B34" s="735"/>
      <c r="C34" s="749"/>
      <c r="D34" s="735"/>
      <c r="E34" s="67" t="s">
        <v>241</v>
      </c>
      <c r="F34" s="62">
        <v>5</v>
      </c>
      <c r="G34" s="62" t="s">
        <v>238</v>
      </c>
      <c r="H34" s="68">
        <v>33.9</v>
      </c>
      <c r="I34" s="61">
        <f t="shared" si="0"/>
        <v>169.5</v>
      </c>
      <c r="J34" s="74"/>
    </row>
    <row r="35" spans="1:10" s="75" customFormat="1">
      <c r="A35" s="747"/>
      <c r="B35" s="735"/>
      <c r="C35" s="749"/>
      <c r="D35" s="735"/>
      <c r="E35" s="67" t="s">
        <v>242</v>
      </c>
      <c r="F35" s="62">
        <v>5</v>
      </c>
      <c r="G35" s="62" t="s">
        <v>238</v>
      </c>
      <c r="H35" s="68">
        <v>46.61</v>
      </c>
      <c r="I35" s="61">
        <f t="shared" si="0"/>
        <v>233.05</v>
      </c>
      <c r="J35" s="74"/>
    </row>
    <row r="36" spans="1:10" s="75" customFormat="1">
      <c r="A36" s="747"/>
      <c r="B36" s="735"/>
      <c r="C36" s="749"/>
      <c r="D36" s="735"/>
      <c r="E36" s="67" t="s">
        <v>243</v>
      </c>
      <c r="F36" s="62">
        <v>5</v>
      </c>
      <c r="G36" s="62" t="s">
        <v>238</v>
      </c>
      <c r="H36" s="68">
        <v>72.03</v>
      </c>
      <c r="I36" s="61">
        <f t="shared" si="0"/>
        <v>360.15</v>
      </c>
      <c r="J36" s="74"/>
    </row>
    <row r="37" spans="1:10" s="75" customFormat="1">
      <c r="A37" s="747"/>
      <c r="B37" s="735"/>
      <c r="C37" s="749"/>
      <c r="D37" s="735"/>
      <c r="E37" s="67" t="s">
        <v>244</v>
      </c>
      <c r="F37" s="62">
        <v>10</v>
      </c>
      <c r="G37" s="62" t="s">
        <v>245</v>
      </c>
      <c r="H37" s="68">
        <v>16.95</v>
      </c>
      <c r="I37" s="61">
        <f t="shared" si="0"/>
        <v>169.5</v>
      </c>
      <c r="J37" s="74"/>
    </row>
    <row r="38" spans="1:10" s="75" customFormat="1">
      <c r="A38" s="747"/>
      <c r="B38" s="735"/>
      <c r="C38" s="749"/>
      <c r="D38" s="735"/>
      <c r="E38" s="67" t="s">
        <v>246</v>
      </c>
      <c r="F38" s="62">
        <v>10</v>
      </c>
      <c r="G38" s="62" t="s">
        <v>245</v>
      </c>
      <c r="H38" s="68">
        <v>38.130000000000003</v>
      </c>
      <c r="I38" s="61">
        <f t="shared" si="0"/>
        <v>381.3</v>
      </c>
      <c r="J38" s="74"/>
    </row>
    <row r="39" spans="1:10" s="75" customFormat="1">
      <c r="A39" s="747"/>
      <c r="B39" s="735"/>
      <c r="C39" s="749"/>
      <c r="D39" s="735"/>
      <c r="E39" s="67" t="s">
        <v>247</v>
      </c>
      <c r="F39" s="62">
        <v>10</v>
      </c>
      <c r="G39" s="62" t="s">
        <v>209</v>
      </c>
      <c r="H39" s="68">
        <v>12.71</v>
      </c>
      <c r="I39" s="61">
        <f t="shared" si="0"/>
        <v>127.10000000000001</v>
      </c>
      <c r="J39" s="74"/>
    </row>
    <row r="40" spans="1:10" s="75" customFormat="1">
      <c r="A40" s="747"/>
      <c r="B40" s="735"/>
      <c r="C40" s="749"/>
      <c r="D40" s="735"/>
      <c r="E40" s="67" t="s">
        <v>248</v>
      </c>
      <c r="F40" s="62">
        <v>20</v>
      </c>
      <c r="G40" s="62" t="s">
        <v>209</v>
      </c>
      <c r="H40" s="68">
        <v>18.64</v>
      </c>
      <c r="I40" s="61">
        <f t="shared" si="0"/>
        <v>372.8</v>
      </c>
      <c r="J40" s="74"/>
    </row>
    <row r="41" spans="1:10" s="75" customFormat="1">
      <c r="A41" s="747"/>
      <c r="B41" s="735"/>
      <c r="C41" s="749"/>
      <c r="D41" s="735"/>
      <c r="E41" s="67" t="s">
        <v>249</v>
      </c>
      <c r="F41" s="62">
        <v>150</v>
      </c>
      <c r="G41" s="62" t="s">
        <v>209</v>
      </c>
      <c r="H41" s="68">
        <v>1.02</v>
      </c>
      <c r="I41" s="61">
        <f t="shared" si="0"/>
        <v>153</v>
      </c>
      <c r="J41" s="74"/>
    </row>
    <row r="42" spans="1:10" s="75" customFormat="1">
      <c r="A42" s="747"/>
      <c r="B42" s="735"/>
      <c r="C42" s="749"/>
      <c r="D42" s="735"/>
      <c r="E42" s="67" t="s">
        <v>250</v>
      </c>
      <c r="F42" s="62">
        <v>200</v>
      </c>
      <c r="G42" s="62" t="s">
        <v>209</v>
      </c>
      <c r="H42" s="68">
        <v>2.97</v>
      </c>
      <c r="I42" s="61">
        <f t="shared" si="0"/>
        <v>594</v>
      </c>
      <c r="J42" s="74"/>
    </row>
    <row r="43" spans="1:10" s="75" customFormat="1">
      <c r="A43" s="747"/>
      <c r="B43" s="735"/>
      <c r="C43" s="749"/>
      <c r="D43" s="735"/>
      <c r="E43" s="67" t="s">
        <v>251</v>
      </c>
      <c r="F43" s="62">
        <v>200</v>
      </c>
      <c r="G43" s="62" t="s">
        <v>209</v>
      </c>
      <c r="H43" s="68">
        <v>508</v>
      </c>
      <c r="I43" s="61">
        <f t="shared" si="0"/>
        <v>101600</v>
      </c>
      <c r="J43" s="74"/>
    </row>
    <row r="44" spans="1:10" s="75" customFormat="1">
      <c r="A44" s="747"/>
      <c r="B44" s="735"/>
      <c r="C44" s="749"/>
      <c r="D44" s="735"/>
      <c r="E44" s="67" t="s">
        <v>252</v>
      </c>
      <c r="F44" s="62">
        <v>100</v>
      </c>
      <c r="G44" s="62" t="s">
        <v>209</v>
      </c>
      <c r="H44" s="68">
        <v>14.41</v>
      </c>
      <c r="I44" s="61">
        <f t="shared" si="0"/>
        <v>1441</v>
      </c>
      <c r="J44" s="74"/>
    </row>
    <row r="45" spans="1:10" s="75" customFormat="1">
      <c r="A45" s="747"/>
      <c r="B45" s="735"/>
      <c r="C45" s="749"/>
      <c r="D45" s="735"/>
      <c r="E45" s="67" t="s">
        <v>253</v>
      </c>
      <c r="F45" s="62">
        <v>2</v>
      </c>
      <c r="G45" s="62" t="s">
        <v>254</v>
      </c>
      <c r="H45" s="68">
        <v>127.12</v>
      </c>
      <c r="I45" s="61">
        <f t="shared" si="0"/>
        <v>254.24</v>
      </c>
      <c r="J45" s="74"/>
    </row>
    <row r="46" spans="1:10" s="75" customFormat="1">
      <c r="A46" s="747"/>
      <c r="B46" s="735"/>
      <c r="C46" s="749"/>
      <c r="D46" s="735"/>
      <c r="E46" s="67" t="s">
        <v>255</v>
      </c>
      <c r="F46" s="62">
        <v>2</v>
      </c>
      <c r="G46" s="62" t="s">
        <v>254</v>
      </c>
      <c r="H46" s="68">
        <v>254.24</v>
      </c>
      <c r="I46" s="61">
        <f t="shared" si="0"/>
        <v>508.48</v>
      </c>
      <c r="J46" s="74"/>
    </row>
    <row r="47" spans="1:10" s="75" customFormat="1">
      <c r="A47" s="747"/>
      <c r="B47" s="735"/>
      <c r="C47" s="749"/>
      <c r="D47" s="735"/>
      <c r="E47" s="65" t="s">
        <v>256</v>
      </c>
      <c r="F47" s="79">
        <v>3</v>
      </c>
      <c r="G47" s="62" t="s">
        <v>238</v>
      </c>
      <c r="H47" s="68">
        <v>15.2</v>
      </c>
      <c r="I47" s="61">
        <f t="shared" si="0"/>
        <v>45.599999999999994</v>
      </c>
      <c r="J47" s="74"/>
    </row>
    <row r="48" spans="1:10" s="75" customFormat="1">
      <c r="A48" s="747"/>
      <c r="B48" s="735"/>
      <c r="C48" s="749"/>
      <c r="D48" s="735"/>
      <c r="E48" s="65" t="s">
        <v>257</v>
      </c>
      <c r="F48" s="66">
        <v>100</v>
      </c>
      <c r="G48" s="62" t="s">
        <v>209</v>
      </c>
      <c r="H48" s="68">
        <v>6.78</v>
      </c>
      <c r="I48" s="61">
        <f t="shared" si="0"/>
        <v>678</v>
      </c>
      <c r="J48" s="74"/>
    </row>
    <row r="49" spans="1:11" s="75" customFormat="1">
      <c r="A49" s="747"/>
      <c r="B49" s="735"/>
      <c r="C49" s="749"/>
      <c r="D49" s="735"/>
      <c r="E49" s="65" t="s">
        <v>258</v>
      </c>
      <c r="F49" s="66">
        <v>100</v>
      </c>
      <c r="G49" s="62" t="s">
        <v>209</v>
      </c>
      <c r="H49" s="68">
        <v>12.71</v>
      </c>
      <c r="I49" s="61">
        <f t="shared" si="0"/>
        <v>1271</v>
      </c>
      <c r="J49" s="74"/>
      <c r="K49" s="80"/>
    </row>
    <row r="50" spans="1:11" s="75" customFormat="1">
      <c r="A50" s="747"/>
      <c r="B50" s="735"/>
      <c r="C50" s="749"/>
      <c r="D50" s="735"/>
      <c r="E50" s="65" t="s">
        <v>259</v>
      </c>
      <c r="F50" s="66">
        <v>50</v>
      </c>
      <c r="G50" s="62" t="s">
        <v>209</v>
      </c>
      <c r="H50" s="68">
        <v>6.78</v>
      </c>
      <c r="I50" s="61">
        <f t="shared" si="0"/>
        <v>339</v>
      </c>
      <c r="J50" s="74"/>
    </row>
    <row r="51" spans="1:11" s="75" customFormat="1">
      <c r="A51" s="747"/>
      <c r="B51" s="735"/>
      <c r="C51" s="749"/>
      <c r="D51" s="735"/>
      <c r="E51" s="65" t="s">
        <v>260</v>
      </c>
      <c r="F51" s="66">
        <v>25</v>
      </c>
      <c r="G51" s="66" t="s">
        <v>261</v>
      </c>
      <c r="H51" s="68">
        <v>255</v>
      </c>
      <c r="I51" s="61">
        <f t="shared" si="0"/>
        <v>6375</v>
      </c>
      <c r="J51" s="74"/>
    </row>
    <row r="52" spans="1:11" s="75" customFormat="1">
      <c r="A52" s="747"/>
      <c r="B52" s="735"/>
      <c r="C52" s="749"/>
      <c r="D52" s="735"/>
      <c r="E52" s="65" t="s">
        <v>262</v>
      </c>
      <c r="F52" s="66">
        <v>20</v>
      </c>
      <c r="G52" s="66" t="s">
        <v>261</v>
      </c>
      <c r="H52" s="68">
        <v>255</v>
      </c>
      <c r="I52" s="61">
        <f t="shared" si="0"/>
        <v>5100</v>
      </c>
      <c r="J52" s="74"/>
    </row>
    <row r="53" spans="1:11" s="75" customFormat="1">
      <c r="A53" s="747"/>
      <c r="B53" s="735"/>
      <c r="C53" s="749"/>
      <c r="D53" s="735"/>
      <c r="E53" s="65" t="s">
        <v>263</v>
      </c>
      <c r="F53" s="81">
        <v>5</v>
      </c>
      <c r="G53" s="81" t="str">
        <f>$G$47</f>
        <v>Boxes</v>
      </c>
      <c r="H53" s="68">
        <v>16.95</v>
      </c>
      <c r="I53" s="61">
        <f t="shared" si="0"/>
        <v>84.75</v>
      </c>
      <c r="J53" s="74"/>
    </row>
    <row r="54" spans="1:11" s="75" customFormat="1">
      <c r="A54" s="747"/>
      <c r="B54" s="735"/>
      <c r="C54" s="749"/>
      <c r="D54" s="735"/>
      <c r="E54" s="65" t="s">
        <v>264</v>
      </c>
      <c r="F54" s="66">
        <v>5</v>
      </c>
      <c r="G54" s="66" t="s">
        <v>209</v>
      </c>
      <c r="H54" s="68">
        <v>14.41</v>
      </c>
      <c r="I54" s="61">
        <f t="shared" si="0"/>
        <v>72.05</v>
      </c>
      <c r="J54" s="74"/>
    </row>
    <row r="55" spans="1:11" s="75" customFormat="1">
      <c r="A55" s="747"/>
      <c r="B55" s="735"/>
      <c r="C55" s="749"/>
      <c r="D55" s="735"/>
      <c r="E55" s="65" t="s">
        <v>265</v>
      </c>
      <c r="F55" s="66">
        <v>2</v>
      </c>
      <c r="G55" s="81" t="str">
        <f>$G$47</f>
        <v>Boxes</v>
      </c>
      <c r="H55" s="68">
        <v>4.8</v>
      </c>
      <c r="I55" s="61">
        <f t="shared" si="0"/>
        <v>9.6</v>
      </c>
      <c r="J55" s="74"/>
    </row>
    <row r="56" spans="1:11" s="75" customFormat="1">
      <c r="A56" s="747"/>
      <c r="B56" s="735"/>
      <c r="C56" s="749"/>
      <c r="D56" s="735"/>
      <c r="E56" s="65" t="s">
        <v>266</v>
      </c>
      <c r="F56" s="66">
        <v>500</v>
      </c>
      <c r="G56" s="66" t="s">
        <v>267</v>
      </c>
      <c r="H56" s="68">
        <v>232.14</v>
      </c>
      <c r="I56" s="61">
        <f t="shared" si="0"/>
        <v>116070</v>
      </c>
      <c r="J56" s="74" t="s">
        <v>226</v>
      </c>
    </row>
    <row r="57" spans="1:11" s="75" customFormat="1">
      <c r="A57" s="747"/>
      <c r="B57" s="735"/>
      <c r="C57" s="749"/>
      <c r="D57" s="735"/>
      <c r="E57" s="65" t="s">
        <v>268</v>
      </c>
      <c r="F57" s="66">
        <v>100</v>
      </c>
      <c r="G57" s="66" t="s">
        <v>267</v>
      </c>
      <c r="H57" s="68">
        <v>491.07</v>
      </c>
      <c r="I57" s="61">
        <f t="shared" si="0"/>
        <v>49107</v>
      </c>
      <c r="J57" s="74" t="s">
        <v>226</v>
      </c>
    </row>
    <row r="58" spans="1:11" s="75" customFormat="1">
      <c r="A58" s="747"/>
      <c r="B58" s="735"/>
      <c r="C58" s="749"/>
      <c r="D58" s="735"/>
      <c r="E58" s="65" t="s">
        <v>269</v>
      </c>
      <c r="F58" s="66">
        <v>60</v>
      </c>
      <c r="G58" s="66" t="s">
        <v>261</v>
      </c>
      <c r="H58" s="68">
        <v>169.49</v>
      </c>
      <c r="I58" s="61">
        <f t="shared" si="0"/>
        <v>10169.400000000001</v>
      </c>
      <c r="J58" s="74"/>
    </row>
    <row r="59" spans="1:11" s="75" customFormat="1">
      <c r="A59" s="747"/>
      <c r="B59" s="735"/>
      <c r="C59" s="749"/>
      <c r="D59" s="735"/>
      <c r="E59" s="65" t="s">
        <v>270</v>
      </c>
      <c r="F59" s="66">
        <v>10</v>
      </c>
      <c r="G59" s="66" t="s">
        <v>261</v>
      </c>
      <c r="H59" s="68">
        <v>44</v>
      </c>
      <c r="I59" s="61">
        <f t="shared" si="0"/>
        <v>440</v>
      </c>
      <c r="J59" s="74"/>
    </row>
    <row r="60" spans="1:11" s="75" customFormat="1">
      <c r="A60" s="747"/>
      <c r="B60" s="735"/>
      <c r="C60" s="749"/>
      <c r="D60" s="735"/>
      <c r="E60" s="65" t="s">
        <v>271</v>
      </c>
      <c r="F60" s="66">
        <v>50</v>
      </c>
      <c r="G60" s="66" t="s">
        <v>261</v>
      </c>
      <c r="H60" s="68">
        <v>178.56</v>
      </c>
      <c r="I60" s="61">
        <f t="shared" si="0"/>
        <v>8928</v>
      </c>
      <c r="J60" s="74"/>
    </row>
    <row r="61" spans="1:11" s="75" customFormat="1">
      <c r="A61" s="747"/>
      <c r="B61" s="735"/>
      <c r="C61" s="749"/>
      <c r="D61" s="735"/>
      <c r="E61" s="65" t="s">
        <v>272</v>
      </c>
      <c r="F61" s="66">
        <v>20</v>
      </c>
      <c r="G61" s="66" t="s">
        <v>209</v>
      </c>
      <c r="H61" s="68">
        <v>63.56</v>
      </c>
      <c r="I61" s="61">
        <f t="shared" si="0"/>
        <v>1271.2</v>
      </c>
      <c r="J61" s="74"/>
    </row>
    <row r="62" spans="1:11" s="75" customFormat="1">
      <c r="A62" s="747"/>
      <c r="B62" s="735"/>
      <c r="C62" s="749"/>
      <c r="D62" s="735"/>
      <c r="E62" s="65" t="s">
        <v>273</v>
      </c>
      <c r="F62" s="66">
        <v>15</v>
      </c>
      <c r="G62" s="66" t="s">
        <v>209</v>
      </c>
      <c r="H62" s="68">
        <v>97.46</v>
      </c>
      <c r="I62" s="61">
        <f t="shared" si="0"/>
        <v>1461.8999999999999</v>
      </c>
      <c r="J62" s="74"/>
    </row>
    <row r="63" spans="1:11" s="75" customFormat="1">
      <c r="A63" s="747"/>
      <c r="B63" s="735"/>
      <c r="C63" s="749"/>
      <c r="D63" s="735"/>
      <c r="E63" s="65" t="s">
        <v>274</v>
      </c>
      <c r="F63" s="66">
        <v>10</v>
      </c>
      <c r="G63" s="81" t="str">
        <f t="shared" ref="G63:G64" si="2">$G$47</f>
        <v>Boxes</v>
      </c>
      <c r="H63" s="68">
        <v>6.36</v>
      </c>
      <c r="I63" s="61">
        <f t="shared" si="0"/>
        <v>63.6</v>
      </c>
      <c r="J63" s="74"/>
    </row>
    <row r="64" spans="1:11" s="75" customFormat="1">
      <c r="A64" s="747"/>
      <c r="B64" s="735"/>
      <c r="C64" s="749"/>
      <c r="D64" s="735"/>
      <c r="E64" s="65" t="s">
        <v>275</v>
      </c>
      <c r="F64" s="66">
        <v>10</v>
      </c>
      <c r="G64" s="81" t="str">
        <f t="shared" si="2"/>
        <v>Boxes</v>
      </c>
      <c r="H64" s="68">
        <v>14.41</v>
      </c>
      <c r="I64" s="61">
        <f t="shared" si="0"/>
        <v>144.1</v>
      </c>
      <c r="J64" s="74"/>
    </row>
    <row r="65" spans="1:10" s="75" customFormat="1">
      <c r="A65" s="747"/>
      <c r="B65" s="735"/>
      <c r="C65" s="749"/>
      <c r="D65" s="735"/>
      <c r="E65" s="65" t="s">
        <v>276</v>
      </c>
      <c r="F65" s="66">
        <v>30</v>
      </c>
      <c r="G65" s="66" t="s">
        <v>209</v>
      </c>
      <c r="H65" s="68">
        <v>14.41</v>
      </c>
      <c r="I65" s="61">
        <f t="shared" si="0"/>
        <v>432.3</v>
      </c>
      <c r="J65" s="74"/>
    </row>
    <row r="66" spans="1:10" s="75" customFormat="1">
      <c r="A66" s="747"/>
      <c r="B66" s="735"/>
      <c r="C66" s="749"/>
      <c r="D66" s="735"/>
      <c r="E66" s="65" t="s">
        <v>277</v>
      </c>
      <c r="F66" s="66">
        <v>10</v>
      </c>
      <c r="G66" s="66" t="s">
        <v>209</v>
      </c>
      <c r="H66" s="68">
        <v>30</v>
      </c>
      <c r="I66" s="61">
        <f t="shared" si="0"/>
        <v>300</v>
      </c>
      <c r="J66" s="74"/>
    </row>
    <row r="67" spans="1:10" s="75" customFormat="1">
      <c r="A67" s="747"/>
      <c r="B67" s="735"/>
      <c r="C67" s="749"/>
      <c r="D67" s="735"/>
      <c r="E67" s="67" t="s">
        <v>278</v>
      </c>
      <c r="F67" s="62">
        <v>5</v>
      </c>
      <c r="G67" s="66" t="s">
        <v>261</v>
      </c>
      <c r="H67" s="68">
        <v>21.19</v>
      </c>
      <c r="I67" s="61">
        <f t="shared" si="0"/>
        <v>105.95</v>
      </c>
      <c r="J67" s="74"/>
    </row>
    <row r="68" spans="1:10" s="75" customFormat="1">
      <c r="A68" s="747"/>
      <c r="B68" s="735"/>
      <c r="C68" s="749"/>
      <c r="D68" s="735"/>
      <c r="E68" s="67" t="s">
        <v>279</v>
      </c>
      <c r="F68" s="62">
        <v>10</v>
      </c>
      <c r="G68" s="66" t="s">
        <v>261</v>
      </c>
      <c r="H68" s="68">
        <v>21.2</v>
      </c>
      <c r="I68" s="61">
        <f t="shared" si="0"/>
        <v>212</v>
      </c>
      <c r="J68" s="74"/>
    </row>
    <row r="69" spans="1:10" s="75" customFormat="1">
      <c r="A69" s="747"/>
      <c r="B69" s="735"/>
      <c r="C69" s="749"/>
      <c r="D69" s="735"/>
      <c r="E69" s="67" t="s">
        <v>280</v>
      </c>
      <c r="F69" s="62">
        <v>2</v>
      </c>
      <c r="G69" s="81" t="str">
        <f t="shared" ref="G69" si="3">$G$47</f>
        <v>Boxes</v>
      </c>
      <c r="H69" s="68">
        <v>291</v>
      </c>
      <c r="I69" s="61">
        <f t="shared" si="0"/>
        <v>582</v>
      </c>
      <c r="J69" s="74"/>
    </row>
    <row r="70" spans="1:10" s="75" customFormat="1">
      <c r="A70" s="747"/>
      <c r="B70" s="735"/>
      <c r="C70" s="749"/>
      <c r="D70" s="735"/>
      <c r="E70" s="65" t="s">
        <v>281</v>
      </c>
      <c r="F70" s="69">
        <v>5</v>
      </c>
      <c r="G70" s="69" t="s">
        <v>282</v>
      </c>
      <c r="H70" s="68">
        <v>127.12</v>
      </c>
      <c r="I70" s="61">
        <f t="shared" si="0"/>
        <v>635.6</v>
      </c>
      <c r="J70" s="74"/>
    </row>
    <row r="71" spans="1:10" s="75" customFormat="1">
      <c r="A71" s="747"/>
      <c r="B71" s="735"/>
      <c r="C71" s="749"/>
      <c r="D71" s="735"/>
      <c r="E71" s="65" t="s">
        <v>283</v>
      </c>
      <c r="F71" s="69">
        <v>10</v>
      </c>
      <c r="G71" s="66" t="s">
        <v>209</v>
      </c>
      <c r="H71" s="68">
        <v>16.95</v>
      </c>
      <c r="I71" s="61">
        <f t="shared" si="0"/>
        <v>169.5</v>
      </c>
      <c r="J71" s="74"/>
    </row>
    <row r="72" spans="1:10" s="75" customFormat="1">
      <c r="A72" s="747"/>
      <c r="B72" s="735"/>
      <c r="C72" s="750"/>
      <c r="D72" s="735"/>
      <c r="E72" s="65" t="s">
        <v>284</v>
      </c>
      <c r="F72" s="69">
        <v>10</v>
      </c>
      <c r="G72" s="66" t="s">
        <v>209</v>
      </c>
      <c r="H72" s="68">
        <v>17.8</v>
      </c>
      <c r="I72" s="61">
        <f t="shared" si="0"/>
        <v>178</v>
      </c>
      <c r="J72" s="74"/>
    </row>
    <row r="73" spans="1:10" s="75" customFormat="1">
      <c r="A73" s="747"/>
      <c r="B73" s="82"/>
      <c r="C73" s="83"/>
      <c r="D73" s="84"/>
      <c r="E73" s="65" t="s">
        <v>285</v>
      </c>
      <c r="F73" s="69"/>
      <c r="G73" s="66"/>
      <c r="H73" s="68"/>
      <c r="I73" s="61">
        <v>43000</v>
      </c>
      <c r="J73" s="74" t="s">
        <v>226</v>
      </c>
    </row>
    <row r="74" spans="1:10" s="75" customFormat="1">
      <c r="A74" s="747"/>
      <c r="B74" s="82"/>
      <c r="C74" s="83"/>
      <c r="D74" s="84"/>
      <c r="E74" s="65" t="s">
        <v>286</v>
      </c>
      <c r="F74" s="69"/>
      <c r="G74" s="66"/>
      <c r="H74" s="68"/>
      <c r="I74" s="61">
        <v>120000</v>
      </c>
      <c r="J74" s="74" t="s">
        <v>226</v>
      </c>
    </row>
    <row r="75" spans="1:10" s="75" customFormat="1">
      <c r="A75" s="747"/>
      <c r="B75" s="736" t="s">
        <v>5</v>
      </c>
      <c r="C75" s="737"/>
      <c r="D75" s="738"/>
      <c r="E75" s="74"/>
      <c r="F75" s="74"/>
      <c r="G75" s="74"/>
      <c r="H75" s="68"/>
      <c r="I75" s="74">
        <f>SUM(I4:I74)</f>
        <v>1362442.0300000003</v>
      </c>
      <c r="J75" s="74"/>
    </row>
    <row r="76" spans="1:10" ht="45.75" customHeight="1">
      <c r="A76" s="739" t="s">
        <v>91</v>
      </c>
      <c r="B76" s="740"/>
      <c r="C76" s="740"/>
      <c r="D76" s="740"/>
      <c r="E76" s="740"/>
      <c r="F76" s="740"/>
      <c r="G76" s="740"/>
      <c r="H76" s="740"/>
      <c r="I76" s="740"/>
      <c r="J76" s="740"/>
    </row>
    <row r="77" spans="1:10">
      <c r="E77" s="85"/>
      <c r="F77" s="85"/>
      <c r="G77" s="85"/>
    </row>
    <row r="86" spans="2:10">
      <c r="H86" s="87"/>
    </row>
    <row r="88" spans="2:10">
      <c r="D88" s="85"/>
    </row>
    <row r="91" spans="2:10" ht="20.100000000000001" customHeight="1">
      <c r="B91" s="85"/>
      <c r="C91" s="85"/>
      <c r="I91" s="85"/>
      <c r="J91" s="85"/>
    </row>
  </sheetData>
  <mergeCells count="14">
    <mergeCell ref="I12:I15"/>
    <mergeCell ref="D20:D72"/>
    <mergeCell ref="B75:D75"/>
    <mergeCell ref="A76:J76"/>
    <mergeCell ref="A1:J1"/>
    <mergeCell ref="A2:J2"/>
    <mergeCell ref="B3:D3"/>
    <mergeCell ref="A4:A75"/>
    <mergeCell ref="B4:B72"/>
    <mergeCell ref="C4:C10"/>
    <mergeCell ref="D4:D10"/>
    <mergeCell ref="C11:C72"/>
    <mergeCell ref="D11:D19"/>
    <mergeCell ref="H12:H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6713-B49E-4CBC-9C71-7CFDCC07A4F5}">
  <dimension ref="A1:I109"/>
  <sheetViews>
    <sheetView tabSelected="1" workbookViewId="0">
      <selection activeCell="G17" sqref="G17"/>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6.5703125" style="1" customWidth="1"/>
    <col min="10" max="16384" width="9.140625" style="1"/>
  </cols>
  <sheetData>
    <row r="1" spans="1:9" ht="56.25" customHeight="1">
      <c r="A1" s="713" t="s">
        <v>854</v>
      </c>
      <c r="B1" s="713"/>
      <c r="C1" s="713"/>
      <c r="D1" s="713"/>
      <c r="E1" s="713"/>
      <c r="F1" s="713"/>
      <c r="G1" s="713"/>
      <c r="H1" s="713"/>
      <c r="I1" s="713"/>
    </row>
    <row r="2" spans="1:9" ht="19.5" customHeight="1">
      <c r="A2" s="714" t="s">
        <v>428</v>
      </c>
      <c r="B2" s="715"/>
      <c r="C2" s="715"/>
      <c r="D2" s="715"/>
      <c r="E2" s="715"/>
      <c r="F2" s="715"/>
      <c r="G2" s="715"/>
      <c r="H2" s="715"/>
      <c r="I2" s="715"/>
    </row>
    <row r="3" spans="1:9" s="22" customFormat="1" ht="34.5" customHeight="1">
      <c r="A3" s="18" t="s">
        <v>48</v>
      </c>
      <c r="B3" s="716" t="s">
        <v>2</v>
      </c>
      <c r="C3" s="717"/>
      <c r="D3" s="718"/>
      <c r="E3" s="366" t="s">
        <v>49</v>
      </c>
      <c r="F3" s="18" t="s">
        <v>50</v>
      </c>
      <c r="G3" s="20" t="s">
        <v>51</v>
      </c>
      <c r="H3" s="19" t="s">
        <v>52</v>
      </c>
      <c r="I3" s="21" t="s">
        <v>53</v>
      </c>
    </row>
    <row r="4" spans="1:9" s="4" customFormat="1" ht="17.25" customHeight="1">
      <c r="A4" s="701"/>
      <c r="B4" s="555"/>
      <c r="C4" s="554" t="s">
        <v>7</v>
      </c>
      <c r="D4" s="5" t="s">
        <v>9</v>
      </c>
      <c r="E4" s="40"/>
      <c r="F4" s="970"/>
      <c r="G4" s="970"/>
      <c r="H4" s="971"/>
      <c r="I4" s="972"/>
    </row>
    <row r="5" spans="1:9" s="4" customFormat="1" ht="17.25" customHeight="1">
      <c r="A5" s="701"/>
      <c r="B5" s="555"/>
      <c r="C5" s="555"/>
      <c r="D5" s="5" t="s">
        <v>855</v>
      </c>
      <c r="E5" s="6"/>
      <c r="F5" s="970"/>
      <c r="G5" s="970"/>
      <c r="H5" s="971"/>
      <c r="I5" s="972"/>
    </row>
    <row r="6" spans="1:9" s="4" customFormat="1" ht="17.25" customHeight="1">
      <c r="A6" s="701"/>
      <c r="B6" s="555"/>
      <c r="C6" s="555"/>
      <c r="D6" s="5" t="s">
        <v>10</v>
      </c>
      <c r="E6" s="6"/>
      <c r="F6" s="6"/>
      <c r="G6" s="6"/>
      <c r="H6" s="12"/>
      <c r="I6" s="972"/>
    </row>
    <row r="7" spans="1:9" s="4" customFormat="1" ht="17.25" customHeight="1">
      <c r="A7" s="701"/>
      <c r="B7" s="555"/>
      <c r="C7" s="556"/>
      <c r="D7" s="5" t="s">
        <v>11</v>
      </c>
      <c r="E7" s="6"/>
      <c r="I7" s="973"/>
    </row>
    <row r="8" spans="1:9" s="4" customFormat="1" ht="21.95" customHeight="1">
      <c r="A8" s="701"/>
      <c r="B8" s="555"/>
      <c r="C8" s="554" t="s">
        <v>12</v>
      </c>
      <c r="D8" s="5" t="s">
        <v>13</v>
      </c>
      <c r="E8" s="6"/>
      <c r="F8" s="970">
        <v>4</v>
      </c>
      <c r="G8" s="970">
        <v>1</v>
      </c>
      <c r="H8" s="971">
        <f>G8*F8</f>
        <v>4</v>
      </c>
      <c r="I8" s="136" t="s">
        <v>856</v>
      </c>
    </row>
    <row r="9" spans="1:9" s="4" customFormat="1" ht="17.25" customHeight="1">
      <c r="A9" s="701"/>
      <c r="B9" s="555"/>
      <c r="C9" s="555"/>
      <c r="D9" s="5" t="s">
        <v>14</v>
      </c>
      <c r="E9" s="6"/>
      <c r="F9" s="974"/>
      <c r="G9" s="974"/>
      <c r="I9" s="13"/>
    </row>
    <row r="10" spans="1:9" s="4" customFormat="1" ht="17.25" customHeight="1">
      <c r="A10" s="701"/>
      <c r="B10" s="555"/>
      <c r="C10" s="555"/>
      <c r="D10" s="5" t="s">
        <v>15</v>
      </c>
      <c r="E10" s="6"/>
      <c r="F10" s="970"/>
      <c r="G10" s="970"/>
      <c r="H10" s="12"/>
      <c r="I10" s="13"/>
    </row>
    <row r="11" spans="1:9" s="4" customFormat="1" ht="17.25" customHeight="1">
      <c r="A11" s="710"/>
      <c r="B11" s="556"/>
      <c r="C11" s="556"/>
      <c r="D11" s="5" t="s">
        <v>11</v>
      </c>
      <c r="E11" s="6"/>
      <c r="F11" s="970">
        <v>4</v>
      </c>
      <c r="G11" s="970">
        <v>1</v>
      </c>
      <c r="H11" s="971">
        <f>G11*F11</f>
        <v>4</v>
      </c>
      <c r="I11" s="135" t="s">
        <v>857</v>
      </c>
    </row>
    <row r="12" spans="1:9" s="4" customFormat="1" ht="21.2" customHeight="1">
      <c r="A12" s="700">
        <v>2</v>
      </c>
      <c r="B12" s="554" t="s">
        <v>16</v>
      </c>
      <c r="C12" s="5" t="s">
        <v>7</v>
      </c>
      <c r="D12" s="5" t="s">
        <v>8</v>
      </c>
      <c r="E12" s="6"/>
      <c r="F12" s="6"/>
      <c r="G12" s="6"/>
      <c r="H12" s="12"/>
      <c r="I12" s="13"/>
    </row>
    <row r="13" spans="1:9" s="4" customFormat="1" ht="17.25" customHeight="1">
      <c r="A13" s="701"/>
      <c r="B13" s="555"/>
      <c r="C13" s="554" t="s">
        <v>12</v>
      </c>
      <c r="D13" s="5" t="s">
        <v>17</v>
      </c>
      <c r="E13" s="6"/>
      <c r="F13" s="6"/>
      <c r="G13" s="6"/>
      <c r="H13" s="12"/>
      <c r="I13" s="13"/>
    </row>
    <row r="14" spans="1:9" s="4" customFormat="1" ht="17.25" customHeight="1">
      <c r="A14" s="701"/>
      <c r="B14" s="555"/>
      <c r="C14" s="555"/>
      <c r="D14" s="5" t="s">
        <v>18</v>
      </c>
      <c r="E14" s="6"/>
      <c r="F14" s="6"/>
      <c r="G14" s="6"/>
      <c r="H14" s="12"/>
      <c r="I14" s="13"/>
    </row>
    <row r="15" spans="1:9" s="4" customFormat="1" ht="17.25" customHeight="1">
      <c r="A15" s="710"/>
      <c r="B15" s="556"/>
      <c r="C15" s="556"/>
      <c r="D15" s="5" t="s">
        <v>11</v>
      </c>
      <c r="E15" s="6"/>
      <c r="F15" s="6"/>
      <c r="G15" s="6"/>
      <c r="H15" s="12"/>
      <c r="I15" s="13"/>
    </row>
    <row r="16" spans="1:9" s="4" customFormat="1" ht="21.2" customHeight="1">
      <c r="A16" s="700">
        <v>3</v>
      </c>
      <c r="B16" s="554" t="s">
        <v>54</v>
      </c>
      <c r="C16" s="5" t="s">
        <v>7</v>
      </c>
      <c r="D16" s="5" t="s">
        <v>8</v>
      </c>
      <c r="E16" s="6"/>
      <c r="F16" s="6"/>
      <c r="G16" s="6"/>
      <c r="H16" s="12"/>
      <c r="I16" s="13"/>
    </row>
    <row r="17" spans="1:9" s="4" customFormat="1" ht="39.950000000000003" customHeight="1">
      <c r="A17" s="701"/>
      <c r="B17" s="555"/>
      <c r="C17" s="554" t="s">
        <v>12</v>
      </c>
      <c r="D17" s="5" t="s">
        <v>17</v>
      </c>
      <c r="E17" s="6"/>
      <c r="F17" s="6">
        <v>2</v>
      </c>
      <c r="G17" s="6">
        <v>2</v>
      </c>
      <c r="H17" s="971">
        <f>G17*F17</f>
        <v>4</v>
      </c>
      <c r="I17" s="136" t="s">
        <v>858</v>
      </c>
    </row>
    <row r="18" spans="1:9" s="4" customFormat="1" ht="49.5" customHeight="1">
      <c r="A18" s="701"/>
      <c r="B18" s="555"/>
      <c r="C18" s="555"/>
      <c r="D18" s="5" t="s">
        <v>18</v>
      </c>
      <c r="E18" s="6"/>
      <c r="F18" s="6">
        <v>4</v>
      </c>
      <c r="G18" s="6">
        <v>2</v>
      </c>
      <c r="H18" s="971">
        <f>G18*F18</f>
        <v>8</v>
      </c>
      <c r="I18" s="136" t="s">
        <v>859</v>
      </c>
    </row>
    <row r="19" spans="1:9" s="4" customFormat="1" ht="17.25" customHeight="1">
      <c r="A19" s="701"/>
      <c r="B19" s="555"/>
      <c r="C19" s="555"/>
      <c r="D19" s="5" t="s">
        <v>19</v>
      </c>
      <c r="E19" s="6"/>
      <c r="F19" s="6"/>
      <c r="G19" s="6"/>
      <c r="H19" s="971"/>
      <c r="I19" s="13"/>
    </row>
    <row r="20" spans="1:9" s="4" customFormat="1" ht="17.25" customHeight="1">
      <c r="A20" s="710"/>
      <c r="B20" s="556"/>
      <c r="C20" s="556"/>
      <c r="D20" s="5" t="s">
        <v>11</v>
      </c>
      <c r="E20" s="6"/>
      <c r="F20" s="6"/>
      <c r="G20" s="6"/>
      <c r="H20" s="971"/>
      <c r="I20" s="13"/>
    </row>
    <row r="21" spans="1:9" s="4" customFormat="1" ht="21.2" customHeight="1">
      <c r="A21" s="700">
        <v>4</v>
      </c>
      <c r="B21" s="554" t="s">
        <v>20</v>
      </c>
      <c r="C21" s="5" t="s">
        <v>7</v>
      </c>
      <c r="D21" s="5" t="s">
        <v>8</v>
      </c>
      <c r="E21" s="6"/>
      <c r="F21" s="6"/>
      <c r="G21" s="6"/>
      <c r="H21" s="971"/>
      <c r="I21" s="13"/>
    </row>
    <row r="22" spans="1:9" s="4" customFormat="1" ht="17.25" customHeight="1">
      <c r="A22" s="701"/>
      <c r="B22" s="555"/>
      <c r="C22" s="554" t="s">
        <v>12</v>
      </c>
      <c r="D22" s="5" t="s">
        <v>17</v>
      </c>
      <c r="E22" s="6"/>
      <c r="F22" s="6"/>
      <c r="G22" s="6"/>
      <c r="H22" s="971"/>
      <c r="I22" s="13"/>
    </row>
    <row r="23" spans="1:9" s="4" customFormat="1" ht="17.25" customHeight="1">
      <c r="A23" s="701"/>
      <c r="B23" s="555"/>
      <c r="C23" s="555"/>
      <c r="D23" s="5" t="s">
        <v>18</v>
      </c>
      <c r="E23" s="6"/>
      <c r="F23" s="6"/>
      <c r="G23" s="6"/>
      <c r="H23" s="971"/>
      <c r="I23" s="13"/>
    </row>
    <row r="24" spans="1:9" s="4" customFormat="1" ht="17.25" customHeight="1">
      <c r="A24" s="710"/>
      <c r="B24" s="556"/>
      <c r="C24" s="556"/>
      <c r="D24" s="5" t="s">
        <v>11</v>
      </c>
      <c r="E24" s="6"/>
      <c r="F24" s="6"/>
      <c r="G24" s="6"/>
      <c r="H24" s="971"/>
      <c r="I24" s="13"/>
    </row>
    <row r="25" spans="1:9" s="4" customFormat="1" ht="17.25" customHeight="1">
      <c r="A25" s="700">
        <v>5</v>
      </c>
      <c r="B25" s="554" t="s">
        <v>21</v>
      </c>
      <c r="C25" s="554" t="s">
        <v>7</v>
      </c>
      <c r="D25" s="5" t="s">
        <v>8</v>
      </c>
      <c r="E25" s="6"/>
      <c r="F25" s="6"/>
      <c r="G25" s="6"/>
      <c r="H25" s="971"/>
      <c r="I25" s="13"/>
    </row>
    <row r="26" spans="1:9" s="4" customFormat="1" ht="17.25" customHeight="1">
      <c r="A26" s="701"/>
      <c r="B26" s="555"/>
      <c r="C26" s="556"/>
      <c r="D26" s="5" t="s">
        <v>11</v>
      </c>
      <c r="E26" s="6"/>
      <c r="F26" s="6"/>
      <c r="G26" s="6"/>
      <c r="H26" s="971"/>
      <c r="I26" s="13"/>
    </row>
    <row r="27" spans="1:9" s="4" customFormat="1" ht="17.25" customHeight="1">
      <c r="A27" s="701"/>
      <c r="B27" s="555"/>
      <c r="C27" s="554" t="s">
        <v>12</v>
      </c>
      <c r="D27" s="5" t="s">
        <v>22</v>
      </c>
      <c r="E27" s="6"/>
      <c r="F27" s="6"/>
      <c r="G27" s="6"/>
      <c r="H27" s="971"/>
      <c r="I27" s="13"/>
    </row>
    <row r="28" spans="1:9" s="4" customFormat="1" ht="17.25" customHeight="1">
      <c r="A28" s="701"/>
      <c r="B28" s="555"/>
      <c r="C28" s="555"/>
      <c r="D28" s="5" t="s">
        <v>23</v>
      </c>
      <c r="E28" s="6"/>
      <c r="F28" s="6"/>
      <c r="G28" s="6"/>
      <c r="H28" s="971"/>
      <c r="I28" s="13"/>
    </row>
    <row r="29" spans="1:9" s="4" customFormat="1" ht="17.25" customHeight="1">
      <c r="A29" s="701"/>
      <c r="B29" s="555"/>
      <c r="C29" s="555"/>
      <c r="D29" s="5" t="s">
        <v>24</v>
      </c>
      <c r="E29" s="6"/>
      <c r="F29" s="6"/>
      <c r="G29" s="6"/>
      <c r="H29" s="971"/>
      <c r="I29" s="13"/>
    </row>
    <row r="30" spans="1:9" s="4" customFormat="1" ht="17.25" customHeight="1">
      <c r="A30" s="701"/>
      <c r="B30" s="555"/>
      <c r="C30" s="555"/>
      <c r="D30" s="5" t="s">
        <v>55</v>
      </c>
      <c r="E30" s="6"/>
      <c r="F30" s="6"/>
      <c r="G30" s="6"/>
      <c r="H30" s="971"/>
      <c r="I30" s="13"/>
    </row>
    <row r="31" spans="1:9" s="4" customFormat="1" ht="17.25" customHeight="1">
      <c r="A31" s="701"/>
      <c r="B31" s="555"/>
      <c r="C31" s="555"/>
      <c r="D31" s="5" t="s">
        <v>25</v>
      </c>
      <c r="E31" s="6"/>
      <c r="F31" s="6"/>
      <c r="G31" s="6"/>
      <c r="H31" s="971"/>
      <c r="I31" s="13"/>
    </row>
    <row r="32" spans="1:9" s="4" customFormat="1" ht="17.25" customHeight="1">
      <c r="A32" s="710"/>
      <c r="B32" s="556"/>
      <c r="C32" s="556"/>
      <c r="D32" s="5" t="s">
        <v>11</v>
      </c>
      <c r="E32" s="6"/>
      <c r="F32" s="6"/>
      <c r="G32" s="6"/>
      <c r="H32" s="971"/>
      <c r="I32" s="13"/>
    </row>
    <row r="33" spans="1:9" s="4" customFormat="1" ht="17.25" customHeight="1">
      <c r="A33" s="700">
        <v>6</v>
      </c>
      <c r="B33" s="554" t="s">
        <v>56</v>
      </c>
      <c r="C33" s="554" t="s">
        <v>7</v>
      </c>
      <c r="D33" s="5" t="s">
        <v>8</v>
      </c>
      <c r="E33" s="6"/>
      <c r="F33" s="6">
        <v>4</v>
      </c>
      <c r="G33" s="6">
        <v>1</v>
      </c>
      <c r="H33" s="971">
        <f>G33*F33</f>
        <v>4</v>
      </c>
      <c r="I33" s="13"/>
    </row>
    <row r="34" spans="1:9" s="4" customFormat="1" ht="17.25" customHeight="1">
      <c r="A34" s="701"/>
      <c r="B34" s="555"/>
      <c r="C34" s="556"/>
      <c r="D34" s="5" t="s">
        <v>11</v>
      </c>
      <c r="E34" s="6"/>
      <c r="F34" s="6"/>
      <c r="G34" s="6"/>
      <c r="H34" s="971"/>
      <c r="I34" s="13"/>
    </row>
    <row r="35" spans="1:9" s="4" customFormat="1" ht="17.25" customHeight="1">
      <c r="A35" s="701"/>
      <c r="B35" s="555"/>
      <c r="C35" s="554" t="s">
        <v>12</v>
      </c>
      <c r="D35" s="5" t="s">
        <v>15</v>
      </c>
      <c r="E35" s="6"/>
      <c r="F35" s="6">
        <v>4</v>
      </c>
      <c r="G35" s="6">
        <v>1</v>
      </c>
      <c r="H35" s="971">
        <f>G35*F35</f>
        <v>4</v>
      </c>
      <c r="I35" s="13"/>
    </row>
    <row r="36" spans="1:9" s="4" customFormat="1" ht="17.25" customHeight="1">
      <c r="A36" s="710"/>
      <c r="B36" s="556"/>
      <c r="C36" s="556"/>
      <c r="D36" s="5" t="s">
        <v>11</v>
      </c>
      <c r="E36" s="6"/>
      <c r="F36" s="6"/>
      <c r="G36" s="6"/>
      <c r="H36" s="971"/>
      <c r="I36" s="13"/>
    </row>
    <row r="37" spans="1:9" s="4" customFormat="1" ht="17.25" customHeight="1">
      <c r="A37" s="700">
        <v>7</v>
      </c>
      <c r="B37" s="554" t="s">
        <v>26</v>
      </c>
      <c r="C37" s="554" t="s">
        <v>7</v>
      </c>
      <c r="D37" s="5" t="s">
        <v>8</v>
      </c>
      <c r="E37" s="6"/>
      <c r="F37" s="6"/>
      <c r="G37" s="6"/>
      <c r="H37" s="971"/>
      <c r="I37" s="13"/>
    </row>
    <row r="38" spans="1:9" s="4" customFormat="1" ht="17.25" customHeight="1">
      <c r="A38" s="701"/>
      <c r="B38" s="555"/>
      <c r="C38" s="556"/>
      <c r="D38" s="5" t="s">
        <v>11</v>
      </c>
      <c r="E38" s="6"/>
      <c r="F38" s="6"/>
      <c r="G38" s="6"/>
      <c r="H38" s="971"/>
      <c r="I38" s="13"/>
    </row>
    <row r="39" spans="1:9" s="4" customFormat="1" ht="17.25" customHeight="1">
      <c r="A39" s="701"/>
      <c r="B39" s="555"/>
      <c r="C39" s="554" t="s">
        <v>12</v>
      </c>
      <c r="D39" s="5" t="s">
        <v>8</v>
      </c>
      <c r="E39" s="6"/>
      <c r="F39" s="6"/>
      <c r="G39" s="6"/>
      <c r="H39" s="971"/>
      <c r="I39" s="13"/>
    </row>
    <row r="40" spans="1:9" s="4" customFormat="1" ht="17.25" customHeight="1">
      <c r="A40" s="710"/>
      <c r="B40" s="556"/>
      <c r="C40" s="556"/>
      <c r="D40" s="5" t="s">
        <v>11</v>
      </c>
      <c r="E40" s="6"/>
      <c r="F40" s="6"/>
      <c r="G40" s="6"/>
      <c r="H40" s="971"/>
      <c r="I40" s="13"/>
    </row>
    <row r="41" spans="1:9" s="4" customFormat="1" ht="17.25" customHeight="1">
      <c r="A41" s="700">
        <v>8</v>
      </c>
      <c r="B41" s="554" t="s">
        <v>27</v>
      </c>
      <c r="C41" s="554" t="s">
        <v>7</v>
      </c>
      <c r="D41" s="5" t="s">
        <v>8</v>
      </c>
      <c r="E41" s="6"/>
      <c r="F41" s="6"/>
      <c r="G41" s="6"/>
      <c r="H41" s="971"/>
      <c r="I41" s="13"/>
    </row>
    <row r="42" spans="1:9" s="4" customFormat="1" ht="17.25" customHeight="1">
      <c r="A42" s="701"/>
      <c r="B42" s="555"/>
      <c r="C42" s="556"/>
      <c r="D42" s="5" t="s">
        <v>11</v>
      </c>
      <c r="E42" s="6"/>
      <c r="F42" s="6"/>
      <c r="G42" s="6"/>
      <c r="H42" s="971"/>
      <c r="I42" s="13"/>
    </row>
    <row r="43" spans="1:9" s="4" customFormat="1" ht="17.25" customHeight="1">
      <c r="A43" s="701"/>
      <c r="B43" s="555"/>
      <c r="C43" s="554" t="s">
        <v>12</v>
      </c>
      <c r="D43" s="5" t="s">
        <v>8</v>
      </c>
      <c r="E43" s="6"/>
      <c r="F43" s="6"/>
      <c r="G43" s="6"/>
      <c r="H43" s="971"/>
      <c r="I43" s="13"/>
    </row>
    <row r="44" spans="1:9" s="4" customFormat="1" ht="17.25" customHeight="1">
      <c r="A44" s="710"/>
      <c r="B44" s="556"/>
      <c r="C44" s="556"/>
      <c r="D44" s="5" t="s">
        <v>11</v>
      </c>
      <c r="E44" s="6"/>
      <c r="F44" s="6"/>
      <c r="G44" s="6"/>
      <c r="H44" s="971"/>
      <c r="I44" s="13"/>
    </row>
    <row r="45" spans="1:9" s="4" customFormat="1" ht="17.25" customHeight="1">
      <c r="A45" s="700">
        <v>9</v>
      </c>
      <c r="B45" s="554" t="s">
        <v>28</v>
      </c>
      <c r="C45" s="554" t="s">
        <v>7</v>
      </c>
      <c r="D45" s="5" t="s">
        <v>8</v>
      </c>
      <c r="E45" s="6"/>
      <c r="F45" s="6"/>
      <c r="G45" s="6"/>
      <c r="H45" s="971"/>
      <c r="I45" s="13"/>
    </row>
    <row r="46" spans="1:9" s="4" customFormat="1" ht="17.25" customHeight="1">
      <c r="A46" s="701"/>
      <c r="B46" s="555"/>
      <c r="C46" s="556"/>
      <c r="D46" s="5" t="s">
        <v>11</v>
      </c>
      <c r="E46" s="6"/>
      <c r="F46" s="6"/>
      <c r="G46" s="6"/>
      <c r="H46" s="971"/>
      <c r="I46" s="13"/>
    </row>
    <row r="47" spans="1:9" s="4" customFormat="1" ht="17.25" customHeight="1">
      <c r="A47" s="701"/>
      <c r="B47" s="555"/>
      <c r="C47" s="554" t="s">
        <v>12</v>
      </c>
      <c r="D47" s="5" t="s">
        <v>8</v>
      </c>
      <c r="E47" s="6"/>
      <c r="F47" s="6"/>
      <c r="G47" s="6"/>
      <c r="H47" s="971"/>
      <c r="I47" s="13"/>
    </row>
    <row r="48" spans="1:9" s="4" customFormat="1" ht="17.25" customHeight="1">
      <c r="A48" s="710"/>
      <c r="B48" s="556"/>
      <c r="C48" s="556"/>
      <c r="D48" s="5" t="s">
        <v>11</v>
      </c>
      <c r="E48" s="6"/>
      <c r="F48" s="6"/>
      <c r="G48" s="6"/>
      <c r="H48" s="971"/>
      <c r="I48" s="13"/>
    </row>
    <row r="49" spans="1:9" s="4" customFormat="1" ht="17.25" customHeight="1">
      <c r="A49" s="700">
        <v>10</v>
      </c>
      <c r="B49" s="554" t="s">
        <v>57</v>
      </c>
      <c r="C49" s="554" t="s">
        <v>7</v>
      </c>
      <c r="D49" s="11" t="s">
        <v>58</v>
      </c>
      <c r="E49" s="6"/>
      <c r="F49" s="6"/>
      <c r="G49" s="6"/>
      <c r="H49" s="971"/>
      <c r="I49" s="13"/>
    </row>
    <row r="50" spans="1:9" s="4" customFormat="1" ht="17.25" customHeight="1">
      <c r="A50" s="701"/>
      <c r="B50" s="555"/>
      <c r="C50" s="556"/>
      <c r="D50" s="7" t="s">
        <v>11</v>
      </c>
      <c r="E50" s="6"/>
      <c r="F50" s="6"/>
      <c r="G50" s="6"/>
      <c r="H50" s="971"/>
      <c r="I50" s="13"/>
    </row>
    <row r="51" spans="1:9" s="4" customFormat="1" ht="17.25" customHeight="1">
      <c r="A51" s="701"/>
      <c r="B51" s="555"/>
      <c r="C51" s="554" t="s">
        <v>12</v>
      </c>
      <c r="D51" s="11" t="s">
        <v>31</v>
      </c>
      <c r="E51" s="6"/>
      <c r="F51" s="6"/>
      <c r="G51" s="6"/>
      <c r="H51" s="971"/>
      <c r="I51" s="13"/>
    </row>
    <row r="52" spans="1:9" s="4" customFormat="1" ht="17.25" customHeight="1">
      <c r="A52" s="710"/>
      <c r="B52" s="556"/>
      <c r="C52" s="556"/>
      <c r="D52" s="7" t="s">
        <v>11</v>
      </c>
      <c r="E52" s="6"/>
      <c r="F52" s="6"/>
      <c r="G52" s="6"/>
      <c r="H52" s="971"/>
      <c r="I52" s="13"/>
    </row>
    <row r="53" spans="1:9" s="4" customFormat="1" ht="17.25" customHeight="1">
      <c r="A53" s="700">
        <v>11</v>
      </c>
      <c r="B53" s="554" t="s">
        <v>32</v>
      </c>
      <c r="C53" s="520" t="s">
        <v>7</v>
      </c>
      <c r="D53" s="509"/>
      <c r="E53" s="6"/>
      <c r="F53" s="6"/>
      <c r="G53" s="6"/>
      <c r="H53" s="971"/>
      <c r="I53" s="13"/>
    </row>
    <row r="54" spans="1:9" s="4" customFormat="1" ht="17.25" customHeight="1">
      <c r="A54" s="710"/>
      <c r="B54" s="556"/>
      <c r="C54" s="520" t="s">
        <v>12</v>
      </c>
      <c r="D54" s="509"/>
      <c r="E54" s="6"/>
      <c r="F54" s="6"/>
      <c r="G54" s="6"/>
      <c r="H54" s="971"/>
      <c r="I54" s="13"/>
    </row>
    <row r="55" spans="1:9" s="4" customFormat="1" ht="17.25" customHeight="1">
      <c r="A55" s="700">
        <v>12</v>
      </c>
      <c r="B55" s="711" t="s">
        <v>59</v>
      </c>
      <c r="C55" s="520" t="s">
        <v>7</v>
      </c>
      <c r="D55" s="509"/>
      <c r="E55" s="6"/>
      <c r="F55" s="6"/>
      <c r="G55" s="6"/>
      <c r="H55" s="971"/>
      <c r="I55" s="13"/>
    </row>
    <row r="56" spans="1:9" s="4" customFormat="1" ht="17.25" customHeight="1">
      <c r="A56" s="710"/>
      <c r="B56" s="712"/>
      <c r="C56" s="520" t="s">
        <v>12</v>
      </c>
      <c r="D56" s="509"/>
      <c r="E56" s="6"/>
      <c r="F56" s="6"/>
      <c r="G56" s="6"/>
      <c r="H56" s="971"/>
      <c r="I56" s="13"/>
    </row>
    <row r="57" spans="1:9" s="4" customFormat="1" ht="17.25" customHeight="1">
      <c r="A57" s="700">
        <v>13</v>
      </c>
      <c r="B57" s="554" t="s">
        <v>33</v>
      </c>
      <c r="C57" s="520" t="s">
        <v>7</v>
      </c>
      <c r="D57" s="509"/>
      <c r="E57" s="6"/>
      <c r="F57" s="6"/>
      <c r="G57" s="6"/>
      <c r="H57" s="971"/>
      <c r="I57" s="13"/>
    </row>
    <row r="58" spans="1:9" s="4" customFormat="1" ht="17.25" customHeight="1">
      <c r="A58" s="710"/>
      <c r="B58" s="556"/>
      <c r="C58" s="520" t="s">
        <v>12</v>
      </c>
      <c r="D58" s="509"/>
      <c r="E58" s="6"/>
      <c r="F58" s="6"/>
      <c r="G58" s="6"/>
      <c r="H58" s="971"/>
      <c r="I58" s="13"/>
    </row>
    <row r="59" spans="1:9" s="4" customFormat="1" ht="17.25" customHeight="1">
      <c r="A59" s="700">
        <v>14</v>
      </c>
      <c r="B59" s="554" t="s">
        <v>34</v>
      </c>
      <c r="C59" s="554" t="s">
        <v>7</v>
      </c>
      <c r="D59" s="5" t="s">
        <v>8</v>
      </c>
      <c r="E59" s="6"/>
      <c r="F59" s="6"/>
      <c r="G59" s="6"/>
      <c r="H59" s="971"/>
      <c r="I59" s="13"/>
    </row>
    <row r="60" spans="1:9" s="4" customFormat="1" ht="17.25" customHeight="1">
      <c r="A60" s="701"/>
      <c r="B60" s="555"/>
      <c r="C60" s="556"/>
      <c r="D60" s="5" t="s">
        <v>11</v>
      </c>
      <c r="E60" s="6"/>
      <c r="F60" s="6"/>
      <c r="G60" s="6"/>
      <c r="H60" s="971"/>
      <c r="I60" s="13"/>
    </row>
    <row r="61" spans="1:9" s="4" customFormat="1" ht="17.25" customHeight="1">
      <c r="A61" s="701"/>
      <c r="B61" s="555"/>
      <c r="C61" s="554" t="s">
        <v>12</v>
      </c>
      <c r="D61" s="5" t="s">
        <v>8</v>
      </c>
      <c r="E61" s="6"/>
      <c r="F61" s="6"/>
      <c r="G61" s="6"/>
      <c r="H61" s="971"/>
      <c r="I61" s="13"/>
    </row>
    <row r="62" spans="1:9" s="4" customFormat="1" ht="17.25" customHeight="1">
      <c r="A62" s="710"/>
      <c r="B62" s="556"/>
      <c r="C62" s="556"/>
      <c r="D62" s="5" t="s">
        <v>11</v>
      </c>
      <c r="E62" s="6"/>
      <c r="F62" s="6"/>
      <c r="G62" s="6"/>
      <c r="H62" s="971"/>
      <c r="I62" s="13"/>
    </row>
    <row r="63" spans="1:9" s="4" customFormat="1">
      <c r="A63" s="706">
        <v>15</v>
      </c>
      <c r="B63" s="554" t="s">
        <v>35</v>
      </c>
      <c r="C63" s="520" t="s">
        <v>7</v>
      </c>
      <c r="D63" s="509"/>
      <c r="E63" s="6"/>
      <c r="F63" s="6"/>
      <c r="G63" s="6"/>
      <c r="H63" s="971"/>
      <c r="I63" s="13"/>
    </row>
    <row r="64" spans="1:9" s="4" customFormat="1">
      <c r="A64" s="707"/>
      <c r="B64" s="555"/>
      <c r="C64" s="708" t="s">
        <v>12</v>
      </c>
      <c r="D64" s="709"/>
      <c r="E64" s="8"/>
      <c r="F64" s="8"/>
      <c r="G64" s="8"/>
      <c r="H64" s="971"/>
      <c r="I64" s="13"/>
    </row>
    <row r="65" spans="1:9" s="4" customFormat="1">
      <c r="A65" s="706">
        <v>16</v>
      </c>
      <c r="B65" s="554" t="s">
        <v>36</v>
      </c>
      <c r="C65" s="520" t="s">
        <v>7</v>
      </c>
      <c r="D65" s="509"/>
      <c r="E65" s="6"/>
      <c r="F65" s="6"/>
      <c r="G65" s="6"/>
      <c r="H65" s="971"/>
      <c r="I65" s="13"/>
    </row>
    <row r="66" spans="1:9" s="4" customFormat="1">
      <c r="A66" s="707"/>
      <c r="B66" s="555"/>
      <c r="C66" s="708" t="s">
        <v>12</v>
      </c>
      <c r="D66" s="709"/>
      <c r="E66" s="8"/>
      <c r="F66" s="8"/>
      <c r="G66" s="8"/>
      <c r="H66" s="971"/>
      <c r="I66" s="13"/>
    </row>
    <row r="67" spans="1:9" s="4" customFormat="1">
      <c r="A67" s="706">
        <v>17</v>
      </c>
      <c r="B67" s="554" t="s">
        <v>37</v>
      </c>
      <c r="C67" s="520" t="s">
        <v>7</v>
      </c>
      <c r="D67" s="509"/>
      <c r="E67" s="6"/>
      <c r="F67" s="6"/>
      <c r="G67" s="6"/>
      <c r="H67" s="971"/>
      <c r="I67" s="13"/>
    </row>
    <row r="68" spans="1:9" s="4" customFormat="1">
      <c r="A68" s="707"/>
      <c r="B68" s="555"/>
      <c r="C68" s="708" t="s">
        <v>12</v>
      </c>
      <c r="D68" s="709"/>
      <c r="E68" s="8"/>
      <c r="F68" s="8"/>
      <c r="G68" s="8"/>
      <c r="H68" s="971"/>
      <c r="I68" s="13"/>
    </row>
    <row r="69" spans="1:9" s="4" customFormat="1">
      <c r="A69" s="706">
        <v>18</v>
      </c>
      <c r="B69" s="554" t="s">
        <v>38</v>
      </c>
      <c r="C69" s="520" t="s">
        <v>7</v>
      </c>
      <c r="D69" s="509"/>
      <c r="E69" s="6"/>
      <c r="F69" s="6"/>
      <c r="G69" s="6"/>
      <c r="H69" s="971"/>
      <c r="I69" s="13"/>
    </row>
    <row r="70" spans="1:9" s="4" customFormat="1">
      <c r="A70" s="707"/>
      <c r="B70" s="555"/>
      <c r="C70" s="708" t="s">
        <v>12</v>
      </c>
      <c r="D70" s="709"/>
      <c r="E70" s="8"/>
      <c r="F70" s="8"/>
      <c r="G70" s="8"/>
      <c r="H70" s="971"/>
      <c r="I70" s="13"/>
    </row>
    <row r="71" spans="1:9" s="4" customFormat="1">
      <c r="A71" s="706">
        <v>19</v>
      </c>
      <c r="B71" s="554" t="s">
        <v>39</v>
      </c>
      <c r="C71" s="520" t="s">
        <v>7</v>
      </c>
      <c r="D71" s="509"/>
      <c r="E71" s="6"/>
      <c r="F71" s="6"/>
      <c r="G71" s="6"/>
      <c r="H71" s="971"/>
      <c r="I71" s="13"/>
    </row>
    <row r="72" spans="1:9" s="4" customFormat="1">
      <c r="A72" s="707"/>
      <c r="B72" s="555"/>
      <c r="C72" s="708" t="s">
        <v>12</v>
      </c>
      <c r="D72" s="709"/>
      <c r="E72" s="8"/>
      <c r="F72" s="8"/>
      <c r="G72" s="8"/>
      <c r="H72" s="971"/>
      <c r="I72" s="13"/>
    </row>
    <row r="73" spans="1:9" s="4" customFormat="1">
      <c r="A73" s="706">
        <v>20</v>
      </c>
      <c r="B73" s="554" t="s">
        <v>40</v>
      </c>
      <c r="C73" s="520" t="s">
        <v>7</v>
      </c>
      <c r="D73" s="509"/>
      <c r="E73" s="6"/>
      <c r="F73" s="6"/>
      <c r="G73" s="6"/>
      <c r="H73" s="971"/>
      <c r="I73" s="13"/>
    </row>
    <row r="74" spans="1:9" s="4" customFormat="1">
      <c r="A74" s="707"/>
      <c r="B74" s="555"/>
      <c r="C74" s="708" t="s">
        <v>12</v>
      </c>
      <c r="D74" s="709"/>
      <c r="E74" s="8"/>
      <c r="F74" s="8"/>
      <c r="G74" s="8"/>
      <c r="H74" s="971"/>
      <c r="I74" s="13"/>
    </row>
    <row r="75" spans="1:9" s="4" customFormat="1">
      <c r="A75" s="706">
        <v>21</v>
      </c>
      <c r="B75" s="554" t="s">
        <v>41</v>
      </c>
      <c r="C75" s="520" t="s">
        <v>7</v>
      </c>
      <c r="D75" s="509"/>
      <c r="E75" s="6"/>
      <c r="F75" s="6"/>
      <c r="G75" s="6"/>
      <c r="H75" s="971"/>
      <c r="I75" s="13"/>
    </row>
    <row r="76" spans="1:9" s="4" customFormat="1">
      <c r="A76" s="707"/>
      <c r="B76" s="555"/>
      <c r="C76" s="708" t="s">
        <v>12</v>
      </c>
      <c r="D76" s="709"/>
      <c r="E76" s="8"/>
      <c r="F76" s="8"/>
      <c r="G76" s="8"/>
      <c r="H76" s="971"/>
      <c r="I76" s="13"/>
    </row>
    <row r="77" spans="1:9" s="4" customFormat="1">
      <c r="A77" s="700">
        <v>22</v>
      </c>
      <c r="B77" s="554" t="s">
        <v>60</v>
      </c>
      <c r="C77" s="702" t="s">
        <v>61</v>
      </c>
      <c r="D77" s="703"/>
      <c r="E77" s="6"/>
      <c r="F77" s="6"/>
      <c r="G77" s="6"/>
      <c r="H77" s="971"/>
      <c r="I77" s="13"/>
    </row>
    <row r="78" spans="1:9" s="4" customFormat="1">
      <c r="A78" s="701"/>
      <c r="B78" s="555"/>
      <c r="C78" s="520" t="s">
        <v>62</v>
      </c>
      <c r="D78" s="509"/>
      <c r="E78" s="6"/>
      <c r="F78" s="6"/>
      <c r="G78" s="6"/>
      <c r="H78" s="971"/>
      <c r="I78" s="13"/>
    </row>
    <row r="79" spans="1:9" s="4" customFormat="1">
      <c r="A79" s="701"/>
      <c r="B79" s="555"/>
      <c r="C79" s="520" t="s">
        <v>63</v>
      </c>
      <c r="D79" s="509"/>
      <c r="E79" s="6"/>
      <c r="F79" s="6"/>
      <c r="G79" s="6"/>
      <c r="H79" s="971"/>
      <c r="I79" s="13"/>
    </row>
    <row r="80" spans="1:9" s="4" customFormat="1">
      <c r="A80" s="701"/>
      <c r="B80" s="555"/>
      <c r="C80" s="520" t="s">
        <v>64</v>
      </c>
      <c r="D80" s="509"/>
      <c r="E80" s="6"/>
      <c r="F80" s="6"/>
      <c r="G80" s="6"/>
      <c r="H80" s="971"/>
      <c r="I80" s="13"/>
    </row>
    <row r="81" spans="1:9" s="4" customFormat="1">
      <c r="A81" s="701"/>
      <c r="B81" s="555"/>
      <c r="C81" s="704" t="s">
        <v>65</v>
      </c>
      <c r="D81" s="705"/>
      <c r="E81" s="8"/>
      <c r="F81" s="8"/>
      <c r="G81" s="8"/>
      <c r="H81" s="971"/>
      <c r="I81" s="13"/>
    </row>
    <row r="82" spans="1:9" s="4" customFormat="1">
      <c r="A82" s="491">
        <v>23</v>
      </c>
      <c r="B82" s="480" t="s">
        <v>66</v>
      </c>
      <c r="C82" s="695" t="s">
        <v>67</v>
      </c>
      <c r="D82" s="696"/>
      <c r="E82" s="13"/>
      <c r="F82" s="13"/>
      <c r="G82" s="13"/>
      <c r="H82" s="971"/>
      <c r="I82" s="13"/>
    </row>
    <row r="83" spans="1:9" s="4" customFormat="1">
      <c r="A83" s="491"/>
      <c r="B83" s="480"/>
      <c r="C83" s="695" t="s">
        <v>68</v>
      </c>
      <c r="D83" s="696"/>
      <c r="E83" s="13"/>
      <c r="F83" s="13"/>
      <c r="G83" s="13"/>
      <c r="H83" s="971"/>
      <c r="I83" s="13"/>
    </row>
    <row r="84" spans="1:9" s="4" customFormat="1">
      <c r="A84" s="491"/>
      <c r="B84" s="480"/>
      <c r="C84" s="695" t="s">
        <v>69</v>
      </c>
      <c r="D84" s="696"/>
      <c r="E84" s="13"/>
      <c r="F84" s="13"/>
      <c r="G84" s="13"/>
      <c r="H84" s="971"/>
      <c r="I84" s="13"/>
    </row>
    <row r="85" spans="1:9" s="4" customFormat="1">
      <c r="A85" s="491"/>
      <c r="B85" s="480"/>
      <c r="C85" s="695" t="s">
        <v>70</v>
      </c>
      <c r="D85" s="696"/>
      <c r="E85" s="13"/>
      <c r="F85" s="13"/>
      <c r="G85" s="13"/>
      <c r="H85" s="971"/>
      <c r="I85" s="13"/>
    </row>
    <row r="86" spans="1:9" s="4" customFormat="1">
      <c r="A86" s="491"/>
      <c r="B86" s="480"/>
      <c r="C86" s="695" t="s">
        <v>71</v>
      </c>
      <c r="D86" s="696"/>
      <c r="E86" s="13"/>
      <c r="F86" s="13"/>
      <c r="G86" s="13"/>
      <c r="H86" s="971"/>
      <c r="I86" s="13"/>
    </row>
    <row r="87" spans="1:9" s="4" customFormat="1">
      <c r="A87" s="491"/>
      <c r="B87" s="480"/>
      <c r="C87" s="695" t="s">
        <v>72</v>
      </c>
      <c r="D87" s="696"/>
      <c r="E87" s="13"/>
      <c r="F87" s="13"/>
      <c r="G87" s="13"/>
      <c r="H87" s="971"/>
      <c r="I87" s="13"/>
    </row>
    <row r="88" spans="1:9" s="4" customFormat="1">
      <c r="A88" s="491"/>
      <c r="B88" s="480"/>
      <c r="C88" s="695" t="s">
        <v>73</v>
      </c>
      <c r="D88" s="696"/>
      <c r="E88" s="13"/>
      <c r="F88" s="13"/>
      <c r="G88" s="13"/>
      <c r="H88" s="971"/>
      <c r="I88" s="13"/>
    </row>
    <row r="89" spans="1:9" s="4" customFormat="1">
      <c r="A89" s="491"/>
      <c r="B89" s="480"/>
      <c r="C89" s="695" t="s">
        <v>11</v>
      </c>
      <c r="D89" s="696"/>
      <c r="E89" s="13"/>
      <c r="F89" s="13"/>
      <c r="G89" s="13"/>
      <c r="H89" s="971"/>
      <c r="I89" s="13"/>
    </row>
    <row r="90" spans="1:9" s="4" customFormat="1" ht="31.5" customHeight="1">
      <c r="A90" s="491">
        <v>24</v>
      </c>
      <c r="B90" s="480" t="s">
        <v>74</v>
      </c>
      <c r="C90" s="695" t="s">
        <v>860</v>
      </c>
      <c r="D90" s="696"/>
      <c r="E90" s="13"/>
      <c r="F90" s="13">
        <v>4</v>
      </c>
      <c r="G90" s="13">
        <v>0.5</v>
      </c>
      <c r="H90" s="971">
        <f>G90*F90</f>
        <v>2</v>
      </c>
      <c r="I90" s="13"/>
    </row>
    <row r="91" spans="1:9" s="4" customFormat="1">
      <c r="A91" s="491"/>
      <c r="B91" s="480"/>
      <c r="C91" s="695" t="s">
        <v>76</v>
      </c>
      <c r="D91" s="696"/>
      <c r="E91" s="13"/>
      <c r="F91" s="13"/>
      <c r="G91" s="13"/>
      <c r="H91" s="971"/>
      <c r="I91" s="13"/>
    </row>
    <row r="92" spans="1:9" s="4" customFormat="1">
      <c r="A92" s="491"/>
      <c r="B92" s="480"/>
      <c r="C92" s="695" t="s">
        <v>77</v>
      </c>
      <c r="D92" s="696"/>
      <c r="E92" s="13"/>
      <c r="F92" s="13"/>
      <c r="G92" s="13"/>
      <c r="H92" s="971"/>
      <c r="I92" s="13"/>
    </row>
    <row r="93" spans="1:9" s="4" customFormat="1" ht="15.75" customHeight="1">
      <c r="A93" s="15">
        <v>25</v>
      </c>
      <c r="B93" s="695" t="s">
        <v>42</v>
      </c>
      <c r="C93" s="697"/>
      <c r="D93" s="696"/>
      <c r="E93" s="13"/>
      <c r="F93" s="13"/>
      <c r="G93" s="13"/>
      <c r="H93" s="971"/>
      <c r="I93" s="13"/>
    </row>
    <row r="94" spans="1:9" s="4" customFormat="1">
      <c r="A94" s="491">
        <v>26</v>
      </c>
      <c r="B94" s="480" t="s">
        <v>78</v>
      </c>
      <c r="C94" s="695" t="s">
        <v>79</v>
      </c>
      <c r="D94" s="696"/>
      <c r="E94" s="13"/>
      <c r="F94" s="13"/>
      <c r="G94" s="13"/>
      <c r="H94" s="971"/>
      <c r="I94" s="13"/>
    </row>
    <row r="95" spans="1:9" s="4" customFormat="1">
      <c r="A95" s="491"/>
      <c r="B95" s="480"/>
      <c r="C95" s="695" t="s">
        <v>80</v>
      </c>
      <c r="D95" s="696"/>
      <c r="E95" s="13"/>
      <c r="F95" s="13"/>
      <c r="G95" s="13"/>
      <c r="H95" s="971"/>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4" customFormat="1" ht="15.75" customHeight="1">
      <c r="A106" s="15">
        <v>27</v>
      </c>
      <c r="B106" s="695" t="s">
        <v>89</v>
      </c>
      <c r="C106" s="697"/>
      <c r="D106" s="696"/>
      <c r="E106" s="13"/>
      <c r="F106" s="13"/>
      <c r="G106" s="13"/>
      <c r="H106" s="23"/>
      <c r="I106" s="13"/>
    </row>
    <row r="107" spans="1:9" s="4" customFormat="1" ht="15.75" customHeight="1">
      <c r="A107" s="15">
        <v>28</v>
      </c>
      <c r="B107" s="695" t="s">
        <v>43</v>
      </c>
      <c r="C107" s="697"/>
      <c r="D107" s="696"/>
      <c r="E107" s="13"/>
      <c r="F107" s="13"/>
      <c r="G107" s="13"/>
      <c r="H107" s="23"/>
      <c r="I107" s="13"/>
    </row>
    <row r="108" spans="1:9">
      <c r="A108" s="16"/>
      <c r="B108" s="694" t="s">
        <v>90</v>
      </c>
      <c r="C108" s="694"/>
      <c r="D108" s="694"/>
      <c r="E108" s="24"/>
      <c r="F108" s="24"/>
      <c r="G108" s="24"/>
      <c r="H108" s="971">
        <f>SUM(H4:H107)</f>
        <v>30</v>
      </c>
      <c r="I108" s="975"/>
    </row>
    <row r="109" spans="1:9" s="17" customFormat="1" ht="42" customHeight="1">
      <c r="A109" s="667" t="s">
        <v>91</v>
      </c>
      <c r="B109" s="668"/>
      <c r="C109" s="668"/>
      <c r="D109" s="668"/>
      <c r="E109" s="668"/>
      <c r="F109" s="668"/>
      <c r="G109" s="668"/>
      <c r="H109" s="668"/>
      <c r="I109" s="669"/>
    </row>
  </sheetData>
  <mergeCells count="126">
    <mergeCell ref="B108:D108"/>
    <mergeCell ref="A109:I109"/>
    <mergeCell ref="C102:D102"/>
    <mergeCell ref="C103:D103"/>
    <mergeCell ref="C104:D104"/>
    <mergeCell ref="C105:D105"/>
    <mergeCell ref="B106:D106"/>
    <mergeCell ref="B107:D107"/>
    <mergeCell ref="A94:A105"/>
    <mergeCell ref="B94:B105"/>
    <mergeCell ref="C94:D94"/>
    <mergeCell ref="C95:D95"/>
    <mergeCell ref="C96:D96"/>
    <mergeCell ref="C97:D97"/>
    <mergeCell ref="C98:D98"/>
    <mergeCell ref="C99:D99"/>
    <mergeCell ref="C100:D100"/>
    <mergeCell ref="C101:D101"/>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12:A15"/>
    <mergeCell ref="B12:B15"/>
    <mergeCell ref="C13:C15"/>
    <mergeCell ref="A16:A20"/>
    <mergeCell ref="B16:B20"/>
    <mergeCell ref="C17:C20"/>
    <mergeCell ref="A1:I1"/>
    <mergeCell ref="A2:I2"/>
    <mergeCell ref="B3:D3"/>
    <mergeCell ref="A4:A11"/>
    <mergeCell ref="B4:B11"/>
    <mergeCell ref="C4:C7"/>
    <mergeCell ref="I4:I7"/>
    <mergeCell ref="C8:C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977C-64F7-4EE8-9E70-033728EF7103}">
  <dimension ref="A1:Z1006"/>
  <sheetViews>
    <sheetView workbookViewId="0">
      <selection activeCell="P13" sqref="P13"/>
    </sheetView>
  </sheetViews>
  <sheetFormatPr defaultColWidth="12.42578125" defaultRowHeight="15"/>
  <cols>
    <col min="1" max="1" width="5.140625" style="1" customWidth="1"/>
    <col min="2" max="2" width="24.7109375" style="1" customWidth="1"/>
    <col min="3" max="3" width="20.140625" style="1" customWidth="1"/>
    <col min="4" max="4" width="26.140625" style="1" customWidth="1"/>
    <col min="5" max="5" width="21.7109375" style="1" bestFit="1" customWidth="1"/>
    <col min="6" max="6" width="13.7109375" style="1" customWidth="1"/>
    <col min="7" max="7" width="16.7109375" style="1" customWidth="1"/>
    <col min="8" max="8" width="16.140625" style="1" customWidth="1"/>
    <col min="9" max="9" width="18.42578125" style="1" customWidth="1"/>
    <col min="10" max="26" width="7.42578125" style="1" customWidth="1"/>
    <col min="27" max="16384" width="12.42578125" style="1"/>
  </cols>
  <sheetData>
    <row r="1" spans="1:26" ht="53.25" customHeight="1">
      <c r="A1" s="772" t="s">
        <v>758</v>
      </c>
      <c r="B1" s="761"/>
      <c r="C1" s="761"/>
      <c r="D1" s="761"/>
      <c r="E1" s="761"/>
      <c r="F1" s="761"/>
      <c r="G1" s="761"/>
      <c r="H1" s="761"/>
      <c r="I1" s="762"/>
    </row>
    <row r="2" spans="1:26" ht="29.25" customHeight="1">
      <c r="A2" s="773" t="s">
        <v>289</v>
      </c>
      <c r="B2" s="761"/>
      <c r="C2" s="761"/>
      <c r="D2" s="761"/>
      <c r="E2" s="761"/>
      <c r="F2" s="761"/>
      <c r="G2" s="761"/>
      <c r="H2" s="761"/>
      <c r="I2" s="762"/>
    </row>
    <row r="3" spans="1:26" ht="47.25">
      <c r="A3" s="88" t="s">
        <v>48</v>
      </c>
      <c r="B3" s="774" t="s">
        <v>2</v>
      </c>
      <c r="C3" s="775"/>
      <c r="D3" s="776"/>
      <c r="E3" s="29" t="s">
        <v>290</v>
      </c>
      <c r="F3" s="89" t="s">
        <v>291</v>
      </c>
      <c r="G3" s="90" t="s">
        <v>292</v>
      </c>
      <c r="H3" s="89" t="s">
        <v>52</v>
      </c>
      <c r="I3" s="91" t="s">
        <v>53</v>
      </c>
      <c r="J3" s="92"/>
      <c r="K3" s="92"/>
      <c r="L3" s="92"/>
      <c r="M3" s="92"/>
      <c r="N3" s="92"/>
      <c r="O3" s="92"/>
      <c r="P3" s="92"/>
      <c r="Q3" s="92"/>
      <c r="R3" s="92"/>
      <c r="S3" s="92"/>
      <c r="T3" s="92"/>
      <c r="U3" s="92"/>
      <c r="V3" s="92"/>
      <c r="W3" s="92"/>
      <c r="X3" s="92"/>
      <c r="Y3" s="92"/>
      <c r="Z3" s="92"/>
    </row>
    <row r="4" spans="1:26" ht="15.75">
      <c r="A4" s="700">
        <v>1</v>
      </c>
      <c r="B4" s="769" t="s">
        <v>293</v>
      </c>
      <c r="C4" s="769" t="s">
        <v>294</v>
      </c>
      <c r="D4" s="94" t="s">
        <v>295</v>
      </c>
      <c r="E4" s="95"/>
      <c r="F4" s="28"/>
      <c r="G4" s="96"/>
      <c r="H4" s="28"/>
      <c r="I4" s="97"/>
      <c r="J4" s="98"/>
      <c r="K4" s="98"/>
      <c r="L4" s="98"/>
      <c r="M4" s="98"/>
      <c r="N4" s="98"/>
      <c r="O4" s="98"/>
      <c r="P4" s="98"/>
      <c r="Q4" s="98"/>
      <c r="R4" s="98"/>
      <c r="S4" s="98"/>
      <c r="T4" s="98"/>
      <c r="U4" s="98"/>
      <c r="V4" s="98"/>
      <c r="W4" s="98"/>
      <c r="X4" s="98"/>
      <c r="Y4" s="98"/>
      <c r="Z4" s="98"/>
    </row>
    <row r="5" spans="1:26" ht="15.75">
      <c r="A5" s="767"/>
      <c r="B5" s="767"/>
      <c r="C5" s="767"/>
      <c r="D5" s="94"/>
      <c r="E5" s="99" t="s">
        <v>296</v>
      </c>
      <c r="F5" s="100">
        <v>5</v>
      </c>
      <c r="G5" s="96">
        <v>70000</v>
      </c>
      <c r="H5" s="32">
        <v>350000</v>
      </c>
      <c r="I5" s="771" t="s">
        <v>297</v>
      </c>
      <c r="J5" s="98"/>
      <c r="K5" s="98"/>
      <c r="L5" s="98"/>
      <c r="M5" s="98"/>
      <c r="N5" s="98"/>
      <c r="O5" s="98"/>
      <c r="P5" s="98"/>
      <c r="Q5" s="98"/>
      <c r="R5" s="98"/>
      <c r="S5" s="98"/>
      <c r="T5" s="98"/>
      <c r="U5" s="98"/>
      <c r="V5" s="98"/>
      <c r="W5" s="98"/>
      <c r="X5" s="98"/>
      <c r="Y5" s="98"/>
      <c r="Z5" s="98"/>
    </row>
    <row r="6" spans="1:26" ht="15.75">
      <c r="A6" s="767"/>
      <c r="B6" s="767"/>
      <c r="C6" s="767"/>
      <c r="D6" s="94"/>
      <c r="E6" s="99" t="s">
        <v>298</v>
      </c>
      <c r="F6" s="28">
        <v>5</v>
      </c>
      <c r="G6" s="96">
        <v>150000</v>
      </c>
      <c r="H6" s="32">
        <v>750000</v>
      </c>
      <c r="I6" s="777"/>
      <c r="J6" s="98"/>
      <c r="K6" s="98"/>
      <c r="L6" s="98"/>
      <c r="M6" s="98"/>
      <c r="N6" s="98"/>
      <c r="O6" s="98"/>
      <c r="P6" s="98"/>
      <c r="Q6" s="98"/>
      <c r="R6" s="98"/>
      <c r="S6" s="98"/>
      <c r="T6" s="98"/>
      <c r="U6" s="98"/>
      <c r="V6" s="98"/>
      <c r="W6" s="98"/>
      <c r="X6" s="98"/>
      <c r="Y6" s="98"/>
      <c r="Z6" s="98"/>
    </row>
    <row r="7" spans="1:26" ht="31.5">
      <c r="A7" s="767"/>
      <c r="B7" s="767"/>
      <c r="C7" s="767"/>
      <c r="D7" s="94"/>
      <c r="E7" s="99" t="s">
        <v>299</v>
      </c>
      <c r="F7" s="32">
        <v>1</v>
      </c>
      <c r="G7" s="102">
        <v>1500000</v>
      </c>
      <c r="H7" s="32">
        <v>1500000</v>
      </c>
      <c r="I7" s="777"/>
      <c r="J7" s="98"/>
      <c r="K7" s="98"/>
      <c r="L7" s="98"/>
      <c r="M7" s="98"/>
      <c r="N7" s="98"/>
      <c r="O7" s="98"/>
      <c r="P7" s="98"/>
      <c r="Q7" s="98"/>
      <c r="R7" s="98"/>
      <c r="S7" s="98"/>
      <c r="T7" s="98"/>
      <c r="U7" s="98"/>
      <c r="V7" s="98"/>
      <c r="W7" s="98"/>
      <c r="X7" s="98"/>
      <c r="Y7" s="98"/>
      <c r="Z7" s="98"/>
    </row>
    <row r="8" spans="1:26" ht="31.5">
      <c r="A8" s="767"/>
      <c r="B8" s="767"/>
      <c r="C8" s="767"/>
      <c r="D8" s="94"/>
      <c r="E8" s="99" t="s">
        <v>300</v>
      </c>
      <c r="F8" s="28">
        <v>1</v>
      </c>
      <c r="G8" s="102">
        <v>1000000</v>
      </c>
      <c r="H8" s="32">
        <v>1000000</v>
      </c>
      <c r="I8" s="777"/>
      <c r="J8" s="98"/>
      <c r="K8" s="98"/>
      <c r="L8" s="98"/>
      <c r="M8" s="98"/>
      <c r="N8" s="98"/>
      <c r="O8" s="98"/>
      <c r="P8" s="98"/>
      <c r="Q8" s="98"/>
      <c r="R8" s="98"/>
      <c r="S8" s="98"/>
      <c r="T8" s="98"/>
      <c r="U8" s="98"/>
      <c r="V8" s="98"/>
      <c r="W8" s="98"/>
      <c r="X8" s="98"/>
      <c r="Y8" s="98"/>
      <c r="Z8" s="98"/>
    </row>
    <row r="9" spans="1:26" ht="15.75">
      <c r="A9" s="767"/>
      <c r="B9" s="767"/>
      <c r="C9" s="767"/>
      <c r="D9" s="94"/>
      <c r="E9" s="5"/>
      <c r="F9" s="28"/>
      <c r="G9" s="96"/>
      <c r="H9" s="28"/>
      <c r="I9" s="777"/>
      <c r="J9" s="98"/>
      <c r="K9" s="98"/>
      <c r="L9" s="98"/>
      <c r="M9" s="98"/>
      <c r="N9" s="98"/>
      <c r="O9" s="98"/>
      <c r="P9" s="98"/>
      <c r="Q9" s="98"/>
      <c r="R9" s="98"/>
      <c r="S9" s="98"/>
      <c r="T9" s="98"/>
      <c r="U9" s="98"/>
      <c r="V9" s="98"/>
      <c r="W9" s="98"/>
      <c r="X9" s="98"/>
      <c r="Y9" s="98"/>
      <c r="Z9" s="98"/>
    </row>
    <row r="10" spans="1:26" ht="31.5">
      <c r="A10" s="767"/>
      <c r="B10" s="767"/>
      <c r="C10" s="767"/>
      <c r="D10" s="94" t="s">
        <v>139</v>
      </c>
      <c r="E10" s="99" t="s">
        <v>301</v>
      </c>
      <c r="F10" s="28">
        <v>1</v>
      </c>
      <c r="G10" s="102">
        <v>500000</v>
      </c>
      <c r="H10" s="32">
        <v>500000</v>
      </c>
      <c r="I10" s="777"/>
      <c r="J10" s="98"/>
      <c r="K10" s="98"/>
      <c r="L10" s="98"/>
      <c r="M10" s="98"/>
      <c r="N10" s="98"/>
      <c r="O10" s="98"/>
      <c r="P10" s="98"/>
      <c r="Q10" s="98"/>
      <c r="R10" s="98"/>
      <c r="S10" s="98"/>
      <c r="T10" s="98"/>
      <c r="U10" s="98"/>
      <c r="V10" s="98"/>
      <c r="W10" s="98"/>
      <c r="X10" s="98"/>
      <c r="Y10" s="98"/>
      <c r="Z10" s="98"/>
    </row>
    <row r="11" spans="1:26" ht="63">
      <c r="A11" s="767"/>
      <c r="B11" s="767"/>
      <c r="C11" s="767"/>
      <c r="D11" s="94" t="s">
        <v>302</v>
      </c>
      <c r="E11" s="99" t="s">
        <v>303</v>
      </c>
      <c r="F11" s="28">
        <v>15</v>
      </c>
      <c r="G11" s="102">
        <v>90000</v>
      </c>
      <c r="H11" s="28">
        <v>1350000</v>
      </c>
      <c r="I11" s="777"/>
      <c r="J11" s="98"/>
      <c r="K11" s="98"/>
      <c r="L11" s="98"/>
      <c r="M11" s="98"/>
      <c r="N11" s="98"/>
      <c r="O11" s="98"/>
      <c r="P11" s="98"/>
      <c r="Q11" s="98"/>
      <c r="R11" s="98"/>
      <c r="S11" s="98"/>
      <c r="T11" s="98"/>
      <c r="U11" s="98"/>
      <c r="V11" s="98"/>
      <c r="W11" s="98"/>
      <c r="X11" s="98"/>
      <c r="Y11" s="98"/>
      <c r="Z11" s="98"/>
    </row>
    <row r="12" spans="1:26" ht="15.75">
      <c r="A12" s="767"/>
      <c r="B12" s="767"/>
      <c r="C12" s="767"/>
      <c r="D12" s="94" t="s">
        <v>304</v>
      </c>
      <c r="E12" s="99" t="s">
        <v>305</v>
      </c>
      <c r="F12" s="28">
        <v>1</v>
      </c>
      <c r="G12" s="102">
        <v>120000</v>
      </c>
      <c r="H12" s="32">
        <v>120000</v>
      </c>
      <c r="I12" s="777"/>
      <c r="J12" s="98"/>
      <c r="K12" s="98"/>
      <c r="L12" s="98"/>
      <c r="M12" s="98"/>
      <c r="N12" s="98"/>
      <c r="O12" s="98"/>
      <c r="P12" s="98"/>
      <c r="Q12" s="98"/>
      <c r="R12" s="98"/>
      <c r="S12" s="98"/>
      <c r="T12" s="98"/>
      <c r="U12" s="98"/>
      <c r="V12" s="98"/>
      <c r="W12" s="98"/>
      <c r="X12" s="98"/>
      <c r="Y12" s="98"/>
      <c r="Z12" s="98"/>
    </row>
    <row r="13" spans="1:26" ht="31.5">
      <c r="A13" s="767"/>
      <c r="B13" s="767"/>
      <c r="C13" s="767"/>
      <c r="D13" s="94"/>
      <c r="E13" s="99" t="s">
        <v>306</v>
      </c>
      <c r="F13" s="32">
        <v>1</v>
      </c>
      <c r="G13" s="102">
        <v>100000</v>
      </c>
      <c r="H13" s="32">
        <v>100000</v>
      </c>
      <c r="I13" s="777"/>
      <c r="J13" s="98"/>
      <c r="K13" s="98"/>
      <c r="L13" s="98"/>
      <c r="M13" s="98"/>
      <c r="N13" s="98"/>
      <c r="O13" s="98"/>
      <c r="P13" s="98"/>
      <c r="Q13" s="98"/>
      <c r="R13" s="98"/>
      <c r="S13" s="98"/>
      <c r="T13" s="98"/>
      <c r="U13" s="98"/>
      <c r="V13" s="98"/>
      <c r="W13" s="98"/>
      <c r="X13" s="98"/>
      <c r="Y13" s="98"/>
      <c r="Z13" s="98"/>
    </row>
    <row r="14" spans="1:26" ht="15.75">
      <c r="A14" s="767"/>
      <c r="B14" s="767"/>
      <c r="C14" s="767"/>
      <c r="D14" s="94"/>
      <c r="E14" s="99" t="s">
        <v>307</v>
      </c>
      <c r="F14" s="28">
        <v>1</v>
      </c>
      <c r="G14" s="102" t="s">
        <v>308</v>
      </c>
      <c r="H14" s="32">
        <v>200000</v>
      </c>
      <c r="I14" s="777"/>
      <c r="J14" s="98"/>
      <c r="K14" s="98"/>
      <c r="L14" s="98"/>
      <c r="M14" s="98"/>
      <c r="N14" s="98"/>
      <c r="O14" s="98"/>
      <c r="P14" s="98"/>
      <c r="Q14" s="98"/>
      <c r="R14" s="98"/>
      <c r="S14" s="98"/>
      <c r="T14" s="98"/>
      <c r="U14" s="98"/>
      <c r="V14" s="98"/>
      <c r="W14" s="98"/>
      <c r="X14" s="98"/>
      <c r="Y14" s="98"/>
      <c r="Z14" s="98"/>
    </row>
    <row r="15" spans="1:26" ht="31.5">
      <c r="A15" s="767"/>
      <c r="B15" s="767"/>
      <c r="C15" s="767"/>
      <c r="D15" s="94"/>
      <c r="E15" s="99" t="s">
        <v>309</v>
      </c>
      <c r="F15" s="28">
        <v>1</v>
      </c>
      <c r="G15" s="102" t="s">
        <v>310</v>
      </c>
      <c r="H15" s="32">
        <v>150000</v>
      </c>
      <c r="I15" s="777"/>
      <c r="J15" s="98"/>
      <c r="K15" s="98"/>
      <c r="L15" s="98"/>
      <c r="M15" s="98"/>
      <c r="N15" s="98"/>
      <c r="O15" s="98"/>
      <c r="P15" s="98"/>
      <c r="Q15" s="98"/>
      <c r="R15" s="98"/>
      <c r="S15" s="98"/>
      <c r="T15" s="98"/>
      <c r="U15" s="98"/>
      <c r="V15" s="98"/>
      <c r="W15" s="98"/>
      <c r="X15" s="98"/>
      <c r="Y15" s="98"/>
      <c r="Z15" s="98"/>
    </row>
    <row r="16" spans="1:26" ht="31.5">
      <c r="A16" s="767"/>
      <c r="B16" s="767"/>
      <c r="C16" s="767"/>
      <c r="D16" s="94"/>
      <c r="E16" s="99" t="s">
        <v>311</v>
      </c>
      <c r="F16" s="28">
        <v>1</v>
      </c>
      <c r="G16" s="96" t="s">
        <v>312</v>
      </c>
      <c r="H16" s="28">
        <v>50000</v>
      </c>
      <c r="I16" s="777"/>
      <c r="J16" s="98"/>
      <c r="K16" s="98"/>
      <c r="L16" s="98"/>
      <c r="M16" s="98"/>
      <c r="N16" s="98"/>
      <c r="O16" s="98"/>
      <c r="P16" s="98"/>
      <c r="Q16" s="98"/>
      <c r="R16" s="98"/>
      <c r="S16" s="98"/>
      <c r="T16" s="98"/>
      <c r="U16" s="98"/>
      <c r="V16" s="98"/>
      <c r="W16" s="98"/>
      <c r="X16" s="98"/>
      <c r="Y16" s="98"/>
      <c r="Z16" s="98"/>
    </row>
    <row r="17" spans="1:26" ht="31.5">
      <c r="A17" s="767"/>
      <c r="B17" s="767"/>
      <c r="C17" s="767"/>
      <c r="D17" s="94"/>
      <c r="E17" s="99" t="s">
        <v>313</v>
      </c>
      <c r="F17" s="28">
        <v>5</v>
      </c>
      <c r="G17" s="96" t="s">
        <v>314</v>
      </c>
      <c r="H17" s="32">
        <v>600000</v>
      </c>
      <c r="I17" s="777"/>
      <c r="J17" s="98"/>
      <c r="K17" s="98"/>
      <c r="L17" s="98"/>
      <c r="M17" s="98"/>
      <c r="N17" s="98"/>
      <c r="O17" s="98"/>
      <c r="P17" s="98"/>
      <c r="Q17" s="98"/>
      <c r="R17" s="98"/>
      <c r="S17" s="98"/>
      <c r="T17" s="98"/>
      <c r="U17" s="98"/>
      <c r="V17" s="98"/>
      <c r="W17" s="98"/>
      <c r="X17" s="98"/>
      <c r="Y17" s="98"/>
      <c r="Z17" s="98"/>
    </row>
    <row r="18" spans="1:26" ht="31.5">
      <c r="A18" s="767"/>
      <c r="B18" s="767"/>
      <c r="C18" s="767"/>
      <c r="D18" s="94"/>
      <c r="E18" s="99" t="s">
        <v>315</v>
      </c>
      <c r="F18" s="28">
        <v>1</v>
      </c>
      <c r="G18" s="102" t="s">
        <v>308</v>
      </c>
      <c r="H18" s="32">
        <v>200000</v>
      </c>
      <c r="I18" s="777"/>
      <c r="J18" s="98"/>
      <c r="K18" s="98"/>
      <c r="L18" s="98"/>
      <c r="M18" s="98"/>
      <c r="N18" s="98"/>
      <c r="O18" s="98"/>
      <c r="P18" s="98"/>
      <c r="Q18" s="98"/>
      <c r="R18" s="98"/>
      <c r="S18" s="98"/>
      <c r="T18" s="98"/>
      <c r="U18" s="98"/>
      <c r="V18" s="98"/>
      <c r="W18" s="98"/>
      <c r="X18" s="98"/>
      <c r="Y18" s="98"/>
      <c r="Z18" s="98"/>
    </row>
    <row r="19" spans="1:26" ht="31.5">
      <c r="A19" s="767"/>
      <c r="B19" s="767"/>
      <c r="C19" s="767"/>
      <c r="D19" s="94"/>
      <c r="E19" s="99" t="s">
        <v>316</v>
      </c>
      <c r="F19" s="28">
        <v>1</v>
      </c>
      <c r="G19" s="102" t="s">
        <v>310</v>
      </c>
      <c r="H19" s="32">
        <v>150000</v>
      </c>
      <c r="I19" s="777"/>
      <c r="J19" s="98"/>
      <c r="K19" s="98"/>
      <c r="L19" s="98"/>
      <c r="M19" s="98"/>
      <c r="N19" s="98"/>
      <c r="O19" s="98"/>
      <c r="P19" s="98"/>
      <c r="Q19" s="98"/>
      <c r="R19" s="98"/>
      <c r="S19" s="98"/>
      <c r="T19" s="98"/>
      <c r="U19" s="98"/>
      <c r="V19" s="98"/>
      <c r="W19" s="98"/>
      <c r="X19" s="98"/>
      <c r="Y19" s="98"/>
      <c r="Z19" s="98"/>
    </row>
    <row r="20" spans="1:26" ht="31.5">
      <c r="A20" s="767"/>
      <c r="B20" s="767"/>
      <c r="C20" s="767"/>
      <c r="D20" s="94"/>
      <c r="E20" s="99" t="s">
        <v>317</v>
      </c>
      <c r="F20" s="28">
        <v>5</v>
      </c>
      <c r="G20" s="96" t="s">
        <v>312</v>
      </c>
      <c r="H20" s="28">
        <v>250000</v>
      </c>
      <c r="I20" s="777"/>
      <c r="J20" s="98"/>
      <c r="K20" s="98"/>
      <c r="L20" s="98"/>
      <c r="M20" s="98"/>
      <c r="N20" s="98"/>
      <c r="O20" s="98"/>
      <c r="P20" s="98"/>
      <c r="Q20" s="98"/>
      <c r="R20" s="98"/>
      <c r="S20" s="98"/>
      <c r="T20" s="98"/>
      <c r="U20" s="98"/>
      <c r="V20" s="98"/>
      <c r="W20" s="98"/>
      <c r="X20" s="98"/>
      <c r="Y20" s="98"/>
      <c r="Z20" s="98"/>
    </row>
    <row r="21" spans="1:26" ht="31.5">
      <c r="A21" s="767"/>
      <c r="B21" s="767"/>
      <c r="C21" s="767"/>
      <c r="D21" s="94"/>
      <c r="E21" s="99" t="s">
        <v>318</v>
      </c>
      <c r="F21" s="32">
        <v>10</v>
      </c>
      <c r="G21" s="102" t="s">
        <v>319</v>
      </c>
      <c r="H21" s="32">
        <v>400000</v>
      </c>
      <c r="I21" s="777"/>
      <c r="J21" s="98"/>
      <c r="K21" s="98"/>
      <c r="L21" s="98"/>
      <c r="M21" s="98"/>
      <c r="N21" s="98"/>
      <c r="O21" s="98"/>
      <c r="P21" s="98"/>
      <c r="Q21" s="98"/>
      <c r="R21" s="98"/>
      <c r="S21" s="98"/>
      <c r="T21" s="98"/>
      <c r="U21" s="98"/>
      <c r="V21" s="98"/>
      <c r="W21" s="98"/>
      <c r="X21" s="98"/>
      <c r="Y21" s="98"/>
      <c r="Z21" s="98"/>
    </row>
    <row r="22" spans="1:26" ht="15.75">
      <c r="A22" s="767"/>
      <c r="B22" s="767"/>
      <c r="C22" s="767"/>
      <c r="D22" s="94"/>
      <c r="E22" s="99" t="s">
        <v>320</v>
      </c>
      <c r="F22" s="28">
        <v>10</v>
      </c>
      <c r="G22" s="102" t="s">
        <v>321</v>
      </c>
      <c r="H22" s="32">
        <v>300000</v>
      </c>
      <c r="I22" s="777"/>
      <c r="J22" s="98"/>
      <c r="K22" s="98"/>
      <c r="L22" s="98"/>
      <c r="M22" s="98"/>
      <c r="N22" s="98"/>
      <c r="O22" s="98"/>
      <c r="P22" s="98"/>
      <c r="Q22" s="98"/>
      <c r="R22" s="98"/>
      <c r="S22" s="98"/>
      <c r="T22" s="98"/>
      <c r="U22" s="98"/>
      <c r="V22" s="98"/>
      <c r="W22" s="98"/>
      <c r="X22" s="98"/>
      <c r="Y22" s="98"/>
      <c r="Z22" s="98"/>
    </row>
    <row r="23" spans="1:26" ht="15.75">
      <c r="A23" s="767"/>
      <c r="B23" s="767"/>
      <c r="C23" s="767"/>
      <c r="D23" s="94"/>
      <c r="E23" s="99" t="s">
        <v>322</v>
      </c>
      <c r="F23" s="28">
        <v>5</v>
      </c>
      <c r="G23" s="96" t="s">
        <v>323</v>
      </c>
      <c r="H23" s="32">
        <v>300000</v>
      </c>
      <c r="I23" s="777"/>
      <c r="J23" s="98"/>
      <c r="K23" s="98"/>
      <c r="L23" s="98"/>
      <c r="M23" s="98"/>
      <c r="N23" s="98"/>
      <c r="O23" s="98"/>
      <c r="P23" s="98"/>
      <c r="Q23" s="98"/>
      <c r="R23" s="98"/>
      <c r="S23" s="98"/>
      <c r="T23" s="98"/>
      <c r="U23" s="98"/>
      <c r="V23" s="98"/>
      <c r="W23" s="98"/>
      <c r="X23" s="98"/>
      <c r="Y23" s="98"/>
      <c r="Z23" s="98"/>
    </row>
    <row r="24" spans="1:26" ht="15.75">
      <c r="A24" s="767"/>
      <c r="B24" s="767"/>
      <c r="C24" s="767"/>
      <c r="D24" s="94"/>
      <c r="E24" s="99" t="s">
        <v>324</v>
      </c>
      <c r="F24" s="28">
        <v>5</v>
      </c>
      <c r="G24" s="96" t="s">
        <v>319</v>
      </c>
      <c r="H24" s="32">
        <v>200000</v>
      </c>
      <c r="I24" s="777"/>
      <c r="J24" s="98"/>
      <c r="K24" s="98"/>
      <c r="L24" s="98"/>
      <c r="M24" s="98"/>
      <c r="N24" s="98"/>
      <c r="O24" s="98"/>
      <c r="P24" s="98"/>
      <c r="Q24" s="98"/>
      <c r="R24" s="98"/>
      <c r="S24" s="98"/>
      <c r="T24" s="98"/>
      <c r="U24" s="98"/>
      <c r="V24" s="98"/>
      <c r="W24" s="98"/>
      <c r="X24" s="98"/>
      <c r="Y24" s="98"/>
      <c r="Z24" s="98"/>
    </row>
    <row r="25" spans="1:26" ht="31.5">
      <c r="A25" s="767"/>
      <c r="B25" s="767"/>
      <c r="C25" s="767"/>
      <c r="D25" s="94"/>
      <c r="E25" s="99" t="s">
        <v>325</v>
      </c>
      <c r="F25" s="28">
        <v>1</v>
      </c>
      <c r="G25" s="102" t="s">
        <v>326</v>
      </c>
      <c r="H25" s="32">
        <v>100000</v>
      </c>
      <c r="I25" s="777"/>
      <c r="J25" s="98"/>
      <c r="K25" s="98"/>
      <c r="L25" s="98"/>
      <c r="M25" s="98"/>
      <c r="N25" s="98"/>
      <c r="O25" s="98"/>
      <c r="P25" s="98"/>
      <c r="Q25" s="98"/>
      <c r="R25" s="98"/>
      <c r="S25" s="98"/>
      <c r="T25" s="98"/>
      <c r="U25" s="98"/>
      <c r="V25" s="98"/>
      <c r="W25" s="98"/>
      <c r="X25" s="98"/>
      <c r="Y25" s="98"/>
      <c r="Z25" s="98"/>
    </row>
    <row r="26" spans="1:26" ht="15.75">
      <c r="A26" s="767"/>
      <c r="B26" s="767"/>
      <c r="C26" s="767"/>
      <c r="D26" s="94"/>
      <c r="E26" s="103" t="s">
        <v>327</v>
      </c>
      <c r="F26" s="28">
        <v>2</v>
      </c>
      <c r="G26" s="96">
        <v>200000</v>
      </c>
      <c r="H26" s="28">
        <v>400000</v>
      </c>
      <c r="I26" s="777"/>
      <c r="J26" s="98"/>
      <c r="K26" s="98"/>
      <c r="L26" s="98"/>
      <c r="M26" s="98"/>
      <c r="N26" s="98"/>
      <c r="O26" s="98"/>
      <c r="P26" s="98"/>
      <c r="Q26" s="98"/>
      <c r="R26" s="98"/>
      <c r="S26" s="98"/>
      <c r="T26" s="98"/>
      <c r="U26" s="98"/>
      <c r="V26" s="98"/>
      <c r="W26" s="98"/>
      <c r="X26" s="98"/>
      <c r="Y26" s="98"/>
      <c r="Z26" s="98"/>
    </row>
    <row r="27" spans="1:26" ht="28.5">
      <c r="A27" s="767"/>
      <c r="B27" s="767"/>
      <c r="C27" s="767"/>
      <c r="D27" s="94"/>
      <c r="E27" s="104" t="s">
        <v>328</v>
      </c>
      <c r="F27" s="28">
        <v>1</v>
      </c>
      <c r="G27" s="105">
        <v>100000</v>
      </c>
      <c r="H27" s="28">
        <v>100000</v>
      </c>
      <c r="I27" s="778"/>
      <c r="J27" s="98"/>
      <c r="K27" s="98"/>
      <c r="L27" s="98"/>
      <c r="M27" s="98"/>
      <c r="N27" s="98"/>
      <c r="O27" s="98"/>
      <c r="P27" s="98"/>
      <c r="Q27" s="98"/>
      <c r="R27" s="98"/>
      <c r="S27" s="98"/>
      <c r="T27" s="98"/>
      <c r="U27" s="98"/>
      <c r="V27" s="98"/>
      <c r="W27" s="98"/>
      <c r="X27" s="98"/>
      <c r="Y27" s="98"/>
      <c r="Z27" s="98"/>
    </row>
    <row r="28" spans="1:26" ht="15.75">
      <c r="A28" s="767"/>
      <c r="B28" s="767"/>
      <c r="C28" s="768"/>
      <c r="D28" s="94" t="s">
        <v>329</v>
      </c>
      <c r="E28" s="95"/>
      <c r="F28" s="28"/>
      <c r="G28" s="96">
        <v>50000</v>
      </c>
      <c r="H28" s="28">
        <v>50000</v>
      </c>
      <c r="I28" s="97"/>
      <c r="J28" s="98"/>
      <c r="K28" s="98"/>
      <c r="L28" s="98"/>
      <c r="M28" s="98"/>
      <c r="N28" s="98"/>
      <c r="O28" s="98"/>
      <c r="P28" s="98"/>
      <c r="Q28" s="98"/>
      <c r="R28" s="98"/>
      <c r="S28" s="98"/>
      <c r="T28" s="98"/>
      <c r="U28" s="98"/>
      <c r="V28" s="98"/>
      <c r="W28" s="98"/>
      <c r="X28" s="98"/>
      <c r="Y28" s="98"/>
      <c r="Z28" s="98"/>
    </row>
    <row r="29" spans="1:26" ht="15.75">
      <c r="A29" s="767"/>
      <c r="B29" s="767"/>
      <c r="C29" s="769" t="s">
        <v>330</v>
      </c>
      <c r="D29" s="94" t="s">
        <v>331</v>
      </c>
      <c r="E29" s="95"/>
      <c r="F29" s="28"/>
      <c r="G29" s="96"/>
      <c r="H29" s="28"/>
      <c r="I29" s="97"/>
      <c r="J29" s="98"/>
      <c r="K29" s="98"/>
      <c r="L29" s="98"/>
      <c r="M29" s="98"/>
      <c r="N29" s="98"/>
      <c r="O29" s="98"/>
      <c r="P29" s="98"/>
      <c r="Q29" s="98"/>
      <c r="R29" s="98"/>
      <c r="S29" s="98"/>
      <c r="T29" s="98"/>
      <c r="U29" s="98"/>
      <c r="V29" s="98"/>
      <c r="W29" s="98"/>
      <c r="X29" s="98"/>
      <c r="Y29" s="98"/>
      <c r="Z29" s="98"/>
    </row>
    <row r="30" spans="1:26" ht="15.75">
      <c r="A30" s="767"/>
      <c r="B30" s="767"/>
      <c r="C30" s="767"/>
      <c r="D30" s="94" t="s">
        <v>332</v>
      </c>
      <c r="E30" s="95"/>
      <c r="F30" s="28"/>
      <c r="G30" s="96"/>
      <c r="H30" s="28"/>
      <c r="I30" s="97"/>
      <c r="J30" s="98"/>
      <c r="K30" s="98"/>
      <c r="L30" s="98"/>
      <c r="M30" s="98"/>
      <c r="N30" s="98"/>
      <c r="O30" s="98"/>
      <c r="P30" s="98"/>
      <c r="Q30" s="98"/>
      <c r="R30" s="98"/>
      <c r="S30" s="98"/>
      <c r="T30" s="98"/>
      <c r="U30" s="98"/>
      <c r="V30" s="98"/>
      <c r="W30" s="98"/>
      <c r="X30" s="98"/>
      <c r="Y30" s="98"/>
      <c r="Z30" s="98"/>
    </row>
    <row r="31" spans="1:26" ht="15.75">
      <c r="A31" s="767"/>
      <c r="B31" s="767"/>
      <c r="C31" s="767"/>
      <c r="D31" s="94" t="s">
        <v>333</v>
      </c>
      <c r="E31" s="95"/>
      <c r="F31" s="28"/>
      <c r="G31" s="96"/>
      <c r="H31" s="28"/>
      <c r="I31" s="97"/>
      <c r="J31" s="98"/>
      <c r="K31" s="98"/>
      <c r="L31" s="98"/>
      <c r="M31" s="98"/>
      <c r="N31" s="98"/>
      <c r="O31" s="98"/>
      <c r="P31" s="98"/>
      <c r="Q31" s="98"/>
      <c r="R31" s="98"/>
      <c r="S31" s="98"/>
      <c r="T31" s="98"/>
      <c r="U31" s="98"/>
      <c r="V31" s="98"/>
      <c r="W31" s="98"/>
      <c r="X31" s="98"/>
      <c r="Y31" s="98"/>
      <c r="Z31" s="98"/>
    </row>
    <row r="32" spans="1:26" ht="15.75">
      <c r="A32" s="768"/>
      <c r="B32" s="768"/>
      <c r="C32" s="768"/>
      <c r="D32" s="94" t="s">
        <v>329</v>
      </c>
      <c r="E32" s="95"/>
      <c r="F32" s="28"/>
      <c r="G32" s="96"/>
      <c r="H32" s="28"/>
      <c r="I32" s="97"/>
      <c r="J32" s="98"/>
      <c r="K32" s="98"/>
      <c r="L32" s="98"/>
      <c r="M32" s="98"/>
      <c r="N32" s="98"/>
      <c r="O32" s="98"/>
      <c r="P32" s="98"/>
      <c r="Q32" s="98"/>
      <c r="R32" s="98"/>
      <c r="S32" s="98"/>
      <c r="T32" s="98"/>
      <c r="U32" s="98"/>
      <c r="V32" s="98"/>
      <c r="W32" s="98"/>
      <c r="X32" s="98"/>
      <c r="Y32" s="98"/>
      <c r="Z32" s="98"/>
    </row>
    <row r="33" spans="1:26" ht="15.75">
      <c r="A33" s="700">
        <v>2</v>
      </c>
      <c r="B33" s="769" t="s">
        <v>334</v>
      </c>
      <c r="C33" s="94" t="s">
        <v>294</v>
      </c>
      <c r="D33" s="94" t="s">
        <v>295</v>
      </c>
      <c r="E33" s="95"/>
      <c r="F33" s="28"/>
      <c r="G33" s="96"/>
      <c r="H33" s="28"/>
      <c r="I33" s="97"/>
      <c r="J33" s="98"/>
      <c r="K33" s="98"/>
      <c r="L33" s="98"/>
      <c r="M33" s="98"/>
      <c r="N33" s="98"/>
      <c r="O33" s="98"/>
      <c r="P33" s="98"/>
      <c r="Q33" s="98"/>
      <c r="R33" s="98"/>
      <c r="S33" s="98"/>
      <c r="T33" s="98"/>
      <c r="U33" s="98"/>
      <c r="V33" s="98"/>
      <c r="W33" s="98"/>
      <c r="X33" s="98"/>
      <c r="Y33" s="98"/>
      <c r="Z33" s="98"/>
    </row>
    <row r="34" spans="1:26" ht="94.5">
      <c r="A34" s="767"/>
      <c r="B34" s="767"/>
      <c r="C34" s="769" t="s">
        <v>330</v>
      </c>
      <c r="D34" s="94" t="s">
        <v>335</v>
      </c>
      <c r="E34" s="95" t="s">
        <v>336</v>
      </c>
      <c r="F34" s="28">
        <v>1</v>
      </c>
      <c r="G34" s="96" t="s">
        <v>326</v>
      </c>
      <c r="H34" s="28">
        <v>100000</v>
      </c>
      <c r="I34" s="95" t="s">
        <v>336</v>
      </c>
      <c r="J34" s="98"/>
      <c r="K34" s="98"/>
      <c r="L34" s="98"/>
      <c r="M34" s="98"/>
      <c r="N34" s="98"/>
      <c r="O34" s="98"/>
      <c r="P34" s="98"/>
      <c r="Q34" s="98"/>
      <c r="R34" s="98"/>
      <c r="S34" s="98"/>
      <c r="T34" s="98"/>
      <c r="U34" s="98"/>
      <c r="V34" s="98"/>
      <c r="W34" s="98"/>
      <c r="X34" s="98"/>
      <c r="Y34" s="98"/>
      <c r="Z34" s="98"/>
    </row>
    <row r="35" spans="1:26" ht="15.75">
      <c r="A35" s="767"/>
      <c r="B35" s="767"/>
      <c r="C35" s="767"/>
      <c r="D35" s="94" t="s">
        <v>337</v>
      </c>
      <c r="E35" s="95"/>
      <c r="F35" s="28"/>
      <c r="G35" s="96"/>
      <c r="H35" s="28"/>
      <c r="I35" s="97"/>
      <c r="J35" s="98"/>
      <c r="K35" s="98"/>
      <c r="L35" s="98"/>
      <c r="M35" s="98"/>
      <c r="N35" s="98"/>
      <c r="O35" s="98"/>
      <c r="P35" s="98"/>
      <c r="Q35" s="98"/>
      <c r="R35" s="98"/>
      <c r="S35" s="98"/>
      <c r="T35" s="98"/>
      <c r="U35" s="98"/>
      <c r="V35" s="98"/>
      <c r="W35" s="98"/>
      <c r="X35" s="98"/>
      <c r="Y35" s="98"/>
      <c r="Z35" s="98"/>
    </row>
    <row r="36" spans="1:26" ht="15.75">
      <c r="A36" s="768"/>
      <c r="B36" s="768"/>
      <c r="C36" s="768"/>
      <c r="D36" s="94" t="s">
        <v>329</v>
      </c>
      <c r="E36" s="95"/>
      <c r="F36" s="28"/>
      <c r="G36" s="96"/>
      <c r="H36" s="28"/>
      <c r="I36" s="97"/>
      <c r="J36" s="98"/>
      <c r="K36" s="98"/>
      <c r="L36" s="98"/>
      <c r="M36" s="98"/>
      <c r="N36" s="98"/>
      <c r="O36" s="98"/>
      <c r="P36" s="98"/>
      <c r="Q36" s="98"/>
      <c r="R36" s="98"/>
      <c r="S36" s="98"/>
      <c r="T36" s="98"/>
      <c r="U36" s="98"/>
      <c r="V36" s="98"/>
      <c r="W36" s="98"/>
      <c r="X36" s="98"/>
      <c r="Y36" s="98"/>
      <c r="Z36" s="98"/>
    </row>
    <row r="37" spans="1:26" ht="15.75">
      <c r="A37" s="700">
        <v>3</v>
      </c>
      <c r="B37" s="769" t="s">
        <v>338</v>
      </c>
      <c r="C37" s="94" t="s">
        <v>294</v>
      </c>
      <c r="D37" s="94" t="s">
        <v>295</v>
      </c>
      <c r="E37" s="95"/>
      <c r="F37" s="28"/>
      <c r="G37" s="96"/>
      <c r="H37" s="28"/>
      <c r="I37" s="97"/>
      <c r="J37" s="98"/>
      <c r="K37" s="98"/>
      <c r="L37" s="98"/>
      <c r="M37" s="98"/>
      <c r="N37" s="98"/>
      <c r="O37" s="98"/>
      <c r="P37" s="98"/>
      <c r="Q37" s="98"/>
      <c r="R37" s="98"/>
      <c r="S37" s="98"/>
      <c r="T37" s="98"/>
      <c r="U37" s="98"/>
      <c r="V37" s="98"/>
      <c r="W37" s="98"/>
      <c r="X37" s="98"/>
      <c r="Y37" s="98"/>
      <c r="Z37" s="98"/>
    </row>
    <row r="38" spans="1:26" ht="31.5">
      <c r="A38" s="767"/>
      <c r="B38" s="767"/>
      <c r="C38" s="769" t="s">
        <v>330</v>
      </c>
      <c r="D38" s="769" t="s">
        <v>335</v>
      </c>
      <c r="E38" s="95" t="s">
        <v>339</v>
      </c>
      <c r="F38" s="28">
        <v>2</v>
      </c>
      <c r="G38" s="96" t="s">
        <v>312</v>
      </c>
      <c r="H38" s="28">
        <v>100000</v>
      </c>
      <c r="I38" s="95" t="s">
        <v>340</v>
      </c>
      <c r="J38" s="98"/>
      <c r="K38" s="98"/>
      <c r="L38" s="98"/>
      <c r="M38" s="98"/>
      <c r="N38" s="98"/>
      <c r="O38" s="98"/>
      <c r="P38" s="98"/>
      <c r="Q38" s="98"/>
      <c r="R38" s="98"/>
      <c r="S38" s="98"/>
      <c r="T38" s="98"/>
      <c r="U38" s="98"/>
      <c r="V38" s="98"/>
      <c r="W38" s="98"/>
      <c r="X38" s="98"/>
      <c r="Y38" s="98"/>
      <c r="Z38" s="98"/>
    </row>
    <row r="39" spans="1:26" ht="78.75">
      <c r="A39" s="767"/>
      <c r="B39" s="767"/>
      <c r="C39" s="767"/>
      <c r="D39" s="768"/>
      <c r="E39" s="95" t="s">
        <v>341</v>
      </c>
      <c r="F39" s="28">
        <v>1</v>
      </c>
      <c r="G39" s="96" t="s">
        <v>342</v>
      </c>
      <c r="H39" s="28">
        <v>300000</v>
      </c>
      <c r="I39" s="95" t="s">
        <v>343</v>
      </c>
      <c r="J39" s="98"/>
      <c r="K39" s="98"/>
      <c r="L39" s="98"/>
      <c r="M39" s="98"/>
      <c r="N39" s="98"/>
      <c r="O39" s="98"/>
      <c r="P39" s="98"/>
      <c r="Q39" s="98"/>
      <c r="R39" s="98"/>
      <c r="S39" s="98"/>
      <c r="T39" s="98"/>
      <c r="U39" s="98"/>
      <c r="V39" s="98"/>
      <c r="W39" s="98"/>
      <c r="X39" s="98"/>
      <c r="Y39" s="98"/>
      <c r="Z39" s="98"/>
    </row>
    <row r="40" spans="1:26" ht="63">
      <c r="A40" s="767"/>
      <c r="B40" s="767"/>
      <c r="C40" s="767"/>
      <c r="D40" s="94" t="s">
        <v>337</v>
      </c>
      <c r="E40" s="95" t="s">
        <v>344</v>
      </c>
      <c r="F40" s="28">
        <v>10</v>
      </c>
      <c r="G40" s="96" t="s">
        <v>345</v>
      </c>
      <c r="H40" s="28">
        <v>200000</v>
      </c>
      <c r="I40" s="95" t="s">
        <v>346</v>
      </c>
      <c r="J40" s="98"/>
      <c r="K40" s="98"/>
      <c r="L40" s="98"/>
      <c r="M40" s="98"/>
      <c r="N40" s="98"/>
      <c r="O40" s="98"/>
      <c r="P40" s="98"/>
      <c r="Q40" s="98"/>
      <c r="R40" s="98"/>
      <c r="S40" s="98"/>
      <c r="T40" s="98"/>
      <c r="U40" s="98"/>
      <c r="V40" s="98"/>
      <c r="W40" s="98"/>
      <c r="X40" s="98"/>
      <c r="Y40" s="98"/>
      <c r="Z40" s="98"/>
    </row>
    <row r="41" spans="1:26" ht="15.75">
      <c r="A41" s="767"/>
      <c r="B41" s="767"/>
      <c r="C41" s="767"/>
      <c r="D41" s="94" t="s">
        <v>347</v>
      </c>
      <c r="E41" s="95"/>
      <c r="F41" s="28"/>
      <c r="G41" s="96"/>
      <c r="H41" s="28"/>
      <c r="I41" s="97"/>
      <c r="J41" s="98"/>
      <c r="K41" s="98"/>
      <c r="L41" s="98"/>
      <c r="M41" s="98"/>
      <c r="N41" s="98"/>
      <c r="O41" s="98"/>
      <c r="P41" s="98"/>
      <c r="Q41" s="98"/>
      <c r="R41" s="98"/>
      <c r="S41" s="98"/>
      <c r="T41" s="98"/>
      <c r="U41" s="98"/>
      <c r="V41" s="98"/>
      <c r="W41" s="98"/>
      <c r="X41" s="98"/>
      <c r="Y41" s="98"/>
      <c r="Z41" s="98"/>
    </row>
    <row r="42" spans="1:26" ht="15.75">
      <c r="A42" s="768"/>
      <c r="B42" s="768"/>
      <c r="C42" s="768"/>
      <c r="D42" s="94" t="s">
        <v>329</v>
      </c>
      <c r="E42" s="95"/>
      <c r="F42" s="28"/>
      <c r="G42" s="96"/>
      <c r="H42" s="28"/>
      <c r="I42" s="97"/>
      <c r="J42" s="98"/>
      <c r="K42" s="98"/>
      <c r="L42" s="98"/>
      <c r="M42" s="98"/>
      <c r="N42" s="98"/>
      <c r="O42" s="98"/>
      <c r="P42" s="98"/>
      <c r="Q42" s="98"/>
      <c r="R42" s="98"/>
      <c r="S42" s="98"/>
      <c r="T42" s="98"/>
      <c r="U42" s="98"/>
      <c r="V42" s="98"/>
      <c r="W42" s="98"/>
      <c r="X42" s="98"/>
      <c r="Y42" s="98"/>
      <c r="Z42" s="98"/>
    </row>
    <row r="43" spans="1:26" ht="15.75">
      <c r="A43" s="700">
        <v>4</v>
      </c>
      <c r="B43" s="769" t="s">
        <v>348</v>
      </c>
      <c r="C43" s="94" t="s">
        <v>294</v>
      </c>
      <c r="D43" s="94" t="s">
        <v>295</v>
      </c>
      <c r="E43" s="95"/>
      <c r="F43" s="28"/>
      <c r="G43" s="96"/>
      <c r="H43" s="28"/>
      <c r="I43" s="97"/>
      <c r="J43" s="98"/>
      <c r="K43" s="98"/>
      <c r="L43" s="98"/>
      <c r="M43" s="98"/>
      <c r="N43" s="98"/>
      <c r="O43" s="98"/>
      <c r="P43" s="98"/>
      <c r="Q43" s="98"/>
      <c r="R43" s="98"/>
      <c r="S43" s="98"/>
      <c r="T43" s="98"/>
      <c r="U43" s="98"/>
      <c r="V43" s="98"/>
      <c r="W43" s="98"/>
      <c r="X43" s="98"/>
      <c r="Y43" s="98"/>
      <c r="Z43" s="98"/>
    </row>
    <row r="44" spans="1:26" ht="15.75">
      <c r="A44" s="767"/>
      <c r="B44" s="767"/>
      <c r="C44" s="769" t="s">
        <v>330</v>
      </c>
      <c r="D44" s="94" t="s">
        <v>335</v>
      </c>
      <c r="E44" s="95"/>
      <c r="F44" s="28"/>
      <c r="G44" s="96"/>
      <c r="H44" s="28"/>
      <c r="I44" s="97"/>
      <c r="J44" s="98"/>
      <c r="K44" s="98"/>
      <c r="L44" s="98"/>
      <c r="M44" s="98"/>
      <c r="N44" s="98"/>
      <c r="O44" s="98"/>
      <c r="P44" s="98"/>
      <c r="Q44" s="98"/>
      <c r="R44" s="98"/>
      <c r="S44" s="98"/>
      <c r="T44" s="98"/>
      <c r="U44" s="98"/>
      <c r="V44" s="98"/>
      <c r="W44" s="98"/>
      <c r="X44" s="98"/>
      <c r="Y44" s="98"/>
      <c r="Z44" s="98"/>
    </row>
    <row r="45" spans="1:26" ht="15.75">
      <c r="A45" s="767"/>
      <c r="B45" s="767"/>
      <c r="C45" s="767"/>
      <c r="D45" s="94" t="s">
        <v>337</v>
      </c>
      <c r="E45" s="95"/>
      <c r="F45" s="28"/>
      <c r="G45" s="96"/>
      <c r="H45" s="28"/>
      <c r="I45" s="97"/>
      <c r="J45" s="98"/>
      <c r="K45" s="98"/>
      <c r="L45" s="98"/>
      <c r="M45" s="98"/>
      <c r="N45" s="98"/>
      <c r="O45" s="98"/>
      <c r="P45" s="98"/>
      <c r="Q45" s="98"/>
      <c r="R45" s="98"/>
      <c r="S45" s="98"/>
      <c r="T45" s="98"/>
      <c r="U45" s="98"/>
      <c r="V45" s="98"/>
      <c r="W45" s="98"/>
      <c r="X45" s="98"/>
      <c r="Y45" s="98"/>
      <c r="Z45" s="98"/>
    </row>
    <row r="46" spans="1:26" ht="15.75">
      <c r="A46" s="768"/>
      <c r="B46" s="768"/>
      <c r="C46" s="768"/>
      <c r="D46" s="94" t="s">
        <v>329</v>
      </c>
      <c r="E46" s="95"/>
      <c r="F46" s="28"/>
      <c r="G46" s="96"/>
      <c r="H46" s="28"/>
      <c r="I46" s="97"/>
      <c r="J46" s="98"/>
      <c r="K46" s="98"/>
      <c r="L46" s="98"/>
      <c r="M46" s="98"/>
      <c r="N46" s="98"/>
      <c r="O46" s="98"/>
      <c r="P46" s="98"/>
      <c r="Q46" s="98"/>
      <c r="R46" s="98"/>
      <c r="S46" s="98"/>
      <c r="T46" s="98"/>
      <c r="U46" s="98"/>
      <c r="V46" s="98"/>
      <c r="W46" s="98"/>
      <c r="X46" s="98"/>
      <c r="Y46" s="98"/>
      <c r="Z46" s="98"/>
    </row>
    <row r="47" spans="1:26" ht="15.75">
      <c r="A47" s="700">
        <v>5</v>
      </c>
      <c r="B47" s="769" t="s">
        <v>349</v>
      </c>
      <c r="C47" s="769" t="s">
        <v>294</v>
      </c>
      <c r="D47" s="94" t="s">
        <v>295</v>
      </c>
      <c r="E47" s="95"/>
      <c r="F47" s="28"/>
      <c r="G47" s="96"/>
      <c r="H47" s="28"/>
      <c r="I47" s="97"/>
      <c r="J47" s="98"/>
      <c r="K47" s="98"/>
      <c r="L47" s="98"/>
      <c r="M47" s="98"/>
      <c r="N47" s="98"/>
      <c r="O47" s="98"/>
      <c r="P47" s="98"/>
      <c r="Q47" s="98"/>
      <c r="R47" s="98"/>
      <c r="S47" s="98"/>
      <c r="T47" s="98"/>
      <c r="U47" s="98"/>
      <c r="V47" s="98"/>
      <c r="W47" s="98"/>
      <c r="X47" s="98"/>
      <c r="Y47" s="98"/>
      <c r="Z47" s="98"/>
    </row>
    <row r="48" spans="1:26" ht="15.75">
      <c r="A48" s="767"/>
      <c r="B48" s="767"/>
      <c r="C48" s="768"/>
      <c r="D48" s="94" t="s">
        <v>329</v>
      </c>
      <c r="E48" s="95"/>
      <c r="F48" s="28"/>
      <c r="G48" s="96"/>
      <c r="H48" s="28"/>
      <c r="I48" s="97"/>
      <c r="J48" s="98"/>
      <c r="K48" s="98"/>
      <c r="L48" s="98"/>
      <c r="M48" s="98"/>
      <c r="N48" s="98"/>
      <c r="O48" s="98"/>
      <c r="P48" s="98"/>
      <c r="Q48" s="98"/>
      <c r="R48" s="98"/>
      <c r="S48" s="98"/>
      <c r="T48" s="98"/>
      <c r="U48" s="98"/>
      <c r="V48" s="98"/>
      <c r="W48" s="98"/>
      <c r="X48" s="98"/>
      <c r="Y48" s="98"/>
      <c r="Z48" s="98"/>
    </row>
    <row r="49" spans="1:26" ht="15.75">
      <c r="A49" s="767"/>
      <c r="B49" s="767"/>
      <c r="C49" s="769" t="s">
        <v>330</v>
      </c>
      <c r="D49" s="94" t="s">
        <v>350</v>
      </c>
      <c r="E49" s="95"/>
      <c r="F49" s="28"/>
      <c r="G49" s="96"/>
      <c r="H49" s="28"/>
      <c r="I49" s="97"/>
      <c r="J49" s="98"/>
      <c r="K49" s="98"/>
      <c r="L49" s="98"/>
      <c r="M49" s="98"/>
      <c r="N49" s="98"/>
      <c r="O49" s="98"/>
      <c r="P49" s="98"/>
      <c r="Q49" s="98"/>
      <c r="R49" s="98"/>
      <c r="S49" s="98"/>
      <c r="T49" s="98"/>
      <c r="U49" s="98"/>
      <c r="V49" s="98"/>
      <c r="W49" s="98"/>
      <c r="X49" s="98"/>
      <c r="Y49" s="98"/>
      <c r="Z49" s="98"/>
    </row>
    <row r="50" spans="1:26" ht="15.75">
      <c r="A50" s="767"/>
      <c r="B50" s="767"/>
      <c r="C50" s="767"/>
      <c r="D50" s="94" t="s">
        <v>351</v>
      </c>
      <c r="E50" s="95"/>
      <c r="F50" s="28"/>
      <c r="G50" s="96"/>
      <c r="H50" s="28"/>
      <c r="I50" s="97"/>
      <c r="J50" s="98"/>
      <c r="K50" s="98"/>
      <c r="L50" s="98"/>
      <c r="M50" s="98"/>
      <c r="N50" s="98"/>
      <c r="O50" s="98"/>
      <c r="P50" s="98"/>
      <c r="Q50" s="98"/>
      <c r="R50" s="98"/>
      <c r="S50" s="98"/>
      <c r="T50" s="98"/>
      <c r="U50" s="98"/>
      <c r="V50" s="98"/>
      <c r="W50" s="98"/>
      <c r="X50" s="98"/>
      <c r="Y50" s="98"/>
      <c r="Z50" s="98"/>
    </row>
    <row r="51" spans="1:26" ht="15.75">
      <c r="A51" s="767"/>
      <c r="B51" s="767"/>
      <c r="C51" s="767"/>
      <c r="D51" s="94" t="s">
        <v>352</v>
      </c>
      <c r="E51" s="95"/>
      <c r="F51" s="28"/>
      <c r="G51" s="96"/>
      <c r="H51" s="28"/>
      <c r="I51" s="97"/>
      <c r="J51" s="98"/>
      <c r="K51" s="98"/>
      <c r="L51" s="98"/>
      <c r="M51" s="98"/>
      <c r="N51" s="98"/>
      <c r="O51" s="98"/>
      <c r="P51" s="98"/>
      <c r="Q51" s="98"/>
      <c r="R51" s="98"/>
      <c r="S51" s="98"/>
      <c r="T51" s="98"/>
      <c r="U51" s="98"/>
      <c r="V51" s="98"/>
      <c r="W51" s="98"/>
      <c r="X51" s="98"/>
      <c r="Y51" s="98"/>
      <c r="Z51" s="98"/>
    </row>
    <row r="52" spans="1:26" ht="15.75">
      <c r="A52" s="767"/>
      <c r="B52" s="767"/>
      <c r="C52" s="767"/>
      <c r="D52" s="94" t="s">
        <v>353</v>
      </c>
      <c r="E52" s="95"/>
      <c r="F52" s="28"/>
      <c r="G52" s="96"/>
      <c r="H52" s="28"/>
      <c r="I52" s="97"/>
      <c r="J52" s="98"/>
      <c r="K52" s="98"/>
      <c r="L52" s="98"/>
      <c r="M52" s="98"/>
      <c r="N52" s="98"/>
      <c r="O52" s="98"/>
      <c r="P52" s="98"/>
      <c r="Q52" s="98"/>
      <c r="R52" s="98"/>
      <c r="S52" s="98"/>
      <c r="T52" s="98"/>
      <c r="U52" s="98"/>
      <c r="V52" s="98"/>
      <c r="W52" s="98"/>
      <c r="X52" s="98"/>
      <c r="Y52" s="98"/>
      <c r="Z52" s="98"/>
    </row>
    <row r="53" spans="1:26" ht="15.75">
      <c r="A53" s="767"/>
      <c r="B53" s="767"/>
      <c r="C53" s="767"/>
      <c r="D53" s="94" t="s">
        <v>354</v>
      </c>
      <c r="E53" s="95"/>
      <c r="F53" s="28"/>
      <c r="G53" s="96"/>
      <c r="H53" s="28"/>
      <c r="I53" s="97"/>
      <c r="J53" s="98"/>
      <c r="K53" s="98"/>
      <c r="L53" s="98"/>
      <c r="M53" s="98"/>
      <c r="N53" s="98"/>
      <c r="O53" s="98"/>
      <c r="P53" s="98"/>
      <c r="Q53" s="98"/>
      <c r="R53" s="98"/>
      <c r="S53" s="98"/>
      <c r="T53" s="98"/>
      <c r="U53" s="98"/>
      <c r="V53" s="98"/>
      <c r="W53" s="98"/>
      <c r="X53" s="98"/>
      <c r="Y53" s="98"/>
      <c r="Z53" s="98"/>
    </row>
    <row r="54" spans="1:26" ht="15.75">
      <c r="A54" s="768"/>
      <c r="B54" s="768"/>
      <c r="C54" s="768"/>
      <c r="D54" s="94" t="s">
        <v>329</v>
      </c>
      <c r="E54" s="95"/>
      <c r="F54" s="28"/>
      <c r="G54" s="96"/>
      <c r="H54" s="28"/>
      <c r="I54" s="97"/>
      <c r="J54" s="98"/>
      <c r="K54" s="98"/>
      <c r="L54" s="98"/>
      <c r="M54" s="98"/>
      <c r="N54" s="98"/>
      <c r="O54" s="98"/>
      <c r="P54" s="98"/>
      <c r="Q54" s="98"/>
      <c r="R54" s="98"/>
      <c r="S54" s="98"/>
      <c r="T54" s="98"/>
      <c r="U54" s="98"/>
      <c r="V54" s="98"/>
      <c r="W54" s="98"/>
      <c r="X54" s="98"/>
      <c r="Y54" s="98"/>
      <c r="Z54" s="98"/>
    </row>
    <row r="55" spans="1:26" ht="15.75">
      <c r="A55" s="700">
        <v>6</v>
      </c>
      <c r="B55" s="769" t="s">
        <v>56</v>
      </c>
      <c r="C55" s="769" t="s">
        <v>294</v>
      </c>
      <c r="D55" s="94" t="s">
        <v>295</v>
      </c>
      <c r="E55" s="95"/>
      <c r="F55" s="28"/>
      <c r="G55" s="96"/>
      <c r="H55" s="28"/>
      <c r="I55" s="97"/>
      <c r="J55" s="98"/>
      <c r="K55" s="98"/>
      <c r="L55" s="98"/>
      <c r="M55" s="98"/>
      <c r="N55" s="98"/>
      <c r="O55" s="98"/>
      <c r="P55" s="98"/>
      <c r="Q55" s="98"/>
      <c r="R55" s="98"/>
      <c r="S55" s="98"/>
      <c r="T55" s="98"/>
      <c r="U55" s="98"/>
      <c r="V55" s="98"/>
      <c r="W55" s="98"/>
      <c r="X55" s="98"/>
      <c r="Y55" s="98"/>
      <c r="Z55" s="98"/>
    </row>
    <row r="56" spans="1:26" ht="15.75">
      <c r="A56" s="767"/>
      <c r="B56" s="767"/>
      <c r="C56" s="768"/>
      <c r="D56" s="94" t="s">
        <v>329</v>
      </c>
      <c r="E56" s="95"/>
      <c r="F56" s="28"/>
      <c r="G56" s="96"/>
      <c r="H56" s="28"/>
      <c r="I56" s="97"/>
      <c r="J56" s="98"/>
      <c r="K56" s="98"/>
      <c r="L56" s="98"/>
      <c r="M56" s="98"/>
      <c r="N56" s="98"/>
      <c r="O56" s="98"/>
      <c r="P56" s="98"/>
      <c r="Q56" s="98"/>
      <c r="R56" s="98"/>
      <c r="S56" s="98"/>
      <c r="T56" s="98"/>
      <c r="U56" s="98"/>
      <c r="V56" s="98"/>
      <c r="W56" s="98"/>
      <c r="X56" s="98"/>
      <c r="Y56" s="98"/>
      <c r="Z56" s="98"/>
    </row>
    <row r="57" spans="1:26" ht="15.75">
      <c r="A57" s="767"/>
      <c r="B57" s="767"/>
      <c r="C57" s="769" t="s">
        <v>330</v>
      </c>
      <c r="D57" s="94" t="s">
        <v>333</v>
      </c>
      <c r="E57" s="95"/>
      <c r="F57" s="28"/>
      <c r="G57" s="96"/>
      <c r="H57" s="28"/>
      <c r="I57" s="97"/>
      <c r="J57" s="98"/>
      <c r="K57" s="98"/>
      <c r="L57" s="98"/>
      <c r="M57" s="98"/>
      <c r="N57" s="98"/>
      <c r="O57" s="98"/>
      <c r="P57" s="98"/>
      <c r="Q57" s="98"/>
      <c r="R57" s="98"/>
      <c r="S57" s="98"/>
      <c r="T57" s="98"/>
      <c r="U57" s="98"/>
      <c r="V57" s="98"/>
      <c r="W57" s="98"/>
      <c r="X57" s="98"/>
      <c r="Y57" s="98"/>
      <c r="Z57" s="98"/>
    </row>
    <row r="58" spans="1:26" ht="15.75">
      <c r="A58" s="768"/>
      <c r="B58" s="768"/>
      <c r="C58" s="768"/>
      <c r="D58" s="94" t="s">
        <v>329</v>
      </c>
      <c r="E58" s="95"/>
      <c r="F58" s="28"/>
      <c r="G58" s="96"/>
      <c r="H58" s="28"/>
      <c r="I58" s="97"/>
      <c r="J58" s="98"/>
      <c r="K58" s="98"/>
      <c r="L58" s="98"/>
      <c r="M58" s="98"/>
      <c r="N58" s="98"/>
      <c r="O58" s="98"/>
      <c r="P58" s="98"/>
      <c r="Q58" s="98"/>
      <c r="R58" s="98"/>
      <c r="S58" s="98"/>
      <c r="T58" s="98"/>
      <c r="U58" s="98"/>
      <c r="V58" s="98"/>
      <c r="W58" s="98"/>
      <c r="X58" s="98"/>
      <c r="Y58" s="98"/>
      <c r="Z58" s="98"/>
    </row>
    <row r="59" spans="1:26" ht="15.75">
      <c r="A59" s="700">
        <v>7</v>
      </c>
      <c r="B59" s="769" t="s">
        <v>355</v>
      </c>
      <c r="C59" s="769" t="s">
        <v>294</v>
      </c>
      <c r="D59" s="94" t="s">
        <v>295</v>
      </c>
      <c r="E59" s="95"/>
      <c r="F59" s="28"/>
      <c r="G59" s="96"/>
      <c r="H59" s="28"/>
      <c r="I59" s="97"/>
      <c r="J59" s="98"/>
      <c r="K59" s="98"/>
      <c r="L59" s="98"/>
      <c r="M59" s="98"/>
      <c r="N59" s="98"/>
      <c r="O59" s="98"/>
      <c r="P59" s="98"/>
      <c r="Q59" s="98"/>
      <c r="R59" s="98"/>
      <c r="S59" s="98"/>
      <c r="T59" s="98"/>
      <c r="U59" s="98"/>
      <c r="V59" s="98"/>
      <c r="W59" s="98"/>
      <c r="X59" s="98"/>
      <c r="Y59" s="98"/>
      <c r="Z59" s="98"/>
    </row>
    <row r="60" spans="1:26" ht="15.75">
      <c r="A60" s="767"/>
      <c r="B60" s="767"/>
      <c r="C60" s="768"/>
      <c r="D60" s="94" t="s">
        <v>329</v>
      </c>
      <c r="E60" s="95"/>
      <c r="F60" s="28"/>
      <c r="G60" s="96"/>
      <c r="H60" s="28"/>
      <c r="I60" s="97"/>
      <c r="J60" s="98"/>
      <c r="K60" s="98"/>
      <c r="L60" s="98"/>
      <c r="M60" s="98"/>
      <c r="N60" s="98"/>
      <c r="O60" s="98"/>
      <c r="P60" s="98"/>
      <c r="Q60" s="98"/>
      <c r="R60" s="98"/>
      <c r="S60" s="98"/>
      <c r="T60" s="98"/>
      <c r="U60" s="98"/>
      <c r="V60" s="98"/>
      <c r="W60" s="98"/>
      <c r="X60" s="98"/>
      <c r="Y60" s="98"/>
      <c r="Z60" s="98"/>
    </row>
    <row r="61" spans="1:26" ht="15.75">
      <c r="A61" s="767"/>
      <c r="B61" s="767"/>
      <c r="C61" s="769" t="s">
        <v>330</v>
      </c>
      <c r="D61" s="94" t="s">
        <v>295</v>
      </c>
      <c r="E61" s="95"/>
      <c r="F61" s="28"/>
      <c r="G61" s="96"/>
      <c r="H61" s="28"/>
      <c r="I61" s="97"/>
      <c r="J61" s="98"/>
      <c r="K61" s="98"/>
      <c r="L61" s="98"/>
      <c r="M61" s="98"/>
      <c r="N61" s="98"/>
      <c r="O61" s="98"/>
      <c r="P61" s="98"/>
      <c r="Q61" s="98"/>
      <c r="R61" s="98"/>
      <c r="S61" s="98"/>
      <c r="T61" s="98"/>
      <c r="U61" s="98"/>
      <c r="V61" s="98"/>
      <c r="W61" s="98"/>
      <c r="X61" s="98"/>
      <c r="Y61" s="98"/>
      <c r="Z61" s="98"/>
    </row>
    <row r="62" spans="1:26" ht="15.75">
      <c r="A62" s="768"/>
      <c r="B62" s="768"/>
      <c r="C62" s="768"/>
      <c r="D62" s="94" t="s">
        <v>329</v>
      </c>
      <c r="E62" s="95"/>
      <c r="F62" s="28"/>
      <c r="G62" s="96"/>
      <c r="H62" s="28"/>
      <c r="I62" s="97"/>
      <c r="J62" s="98"/>
      <c r="K62" s="98"/>
      <c r="L62" s="98"/>
      <c r="M62" s="98"/>
      <c r="N62" s="98"/>
      <c r="O62" s="98"/>
      <c r="P62" s="98"/>
      <c r="Q62" s="98"/>
      <c r="R62" s="98"/>
      <c r="S62" s="98"/>
      <c r="T62" s="98"/>
      <c r="U62" s="98"/>
      <c r="V62" s="98"/>
      <c r="W62" s="98"/>
      <c r="X62" s="98"/>
      <c r="Y62" s="98"/>
      <c r="Z62" s="98"/>
    </row>
    <row r="63" spans="1:26" ht="15.75">
      <c r="A63" s="700">
        <v>8</v>
      </c>
      <c r="B63" s="769" t="s">
        <v>27</v>
      </c>
      <c r="C63" s="769" t="s">
        <v>294</v>
      </c>
      <c r="D63" s="94" t="s">
        <v>295</v>
      </c>
      <c r="E63" s="95"/>
      <c r="F63" s="28"/>
      <c r="G63" s="96"/>
      <c r="H63" s="28"/>
      <c r="I63" s="97"/>
      <c r="J63" s="98"/>
      <c r="K63" s="98"/>
      <c r="L63" s="98"/>
      <c r="M63" s="98"/>
      <c r="N63" s="98"/>
      <c r="O63" s="98"/>
      <c r="P63" s="98"/>
      <c r="Q63" s="98"/>
      <c r="R63" s="98"/>
      <c r="S63" s="98"/>
      <c r="T63" s="98"/>
      <c r="U63" s="98"/>
      <c r="V63" s="98"/>
      <c r="W63" s="98"/>
      <c r="X63" s="98"/>
      <c r="Y63" s="98"/>
      <c r="Z63" s="98"/>
    </row>
    <row r="64" spans="1:26" ht="15.75">
      <c r="A64" s="767"/>
      <c r="B64" s="767"/>
      <c r="C64" s="768"/>
      <c r="D64" s="94" t="s">
        <v>329</v>
      </c>
      <c r="E64" s="95"/>
      <c r="F64" s="28"/>
      <c r="G64" s="96"/>
      <c r="H64" s="28"/>
      <c r="I64" s="97"/>
      <c r="J64" s="98"/>
      <c r="K64" s="98"/>
      <c r="L64" s="98"/>
      <c r="M64" s="98"/>
      <c r="N64" s="98"/>
      <c r="O64" s="98"/>
      <c r="P64" s="98"/>
      <c r="Q64" s="98"/>
      <c r="R64" s="98"/>
      <c r="S64" s="98"/>
      <c r="T64" s="98"/>
      <c r="U64" s="98"/>
      <c r="V64" s="98"/>
      <c r="W64" s="98"/>
      <c r="X64" s="98"/>
      <c r="Y64" s="98"/>
      <c r="Z64" s="98"/>
    </row>
    <row r="65" spans="1:26" ht="15.75">
      <c r="A65" s="767"/>
      <c r="B65" s="767"/>
      <c r="C65" s="769" t="s">
        <v>330</v>
      </c>
      <c r="D65" s="94" t="s">
        <v>295</v>
      </c>
      <c r="E65" s="95"/>
      <c r="F65" s="28"/>
      <c r="G65" s="96"/>
      <c r="H65" s="28"/>
      <c r="I65" s="97"/>
      <c r="J65" s="98"/>
      <c r="K65" s="98"/>
      <c r="L65" s="98"/>
      <c r="M65" s="98"/>
      <c r="N65" s="98"/>
      <c r="O65" s="98"/>
      <c r="P65" s="98"/>
      <c r="Q65" s="98"/>
      <c r="R65" s="98"/>
      <c r="S65" s="98"/>
      <c r="T65" s="98"/>
      <c r="U65" s="98"/>
      <c r="V65" s="98"/>
      <c r="W65" s="98"/>
      <c r="X65" s="98"/>
      <c r="Y65" s="98"/>
      <c r="Z65" s="98"/>
    </row>
    <row r="66" spans="1:26" ht="15.75">
      <c r="A66" s="768"/>
      <c r="B66" s="768"/>
      <c r="C66" s="768"/>
      <c r="D66" s="94" t="s">
        <v>329</v>
      </c>
      <c r="E66" s="95"/>
      <c r="F66" s="28"/>
      <c r="G66" s="96"/>
      <c r="H66" s="28"/>
      <c r="I66" s="97"/>
      <c r="J66" s="98"/>
      <c r="K66" s="98"/>
      <c r="L66" s="98"/>
      <c r="M66" s="98"/>
      <c r="N66" s="98"/>
      <c r="O66" s="98"/>
      <c r="P66" s="98"/>
      <c r="Q66" s="98"/>
      <c r="R66" s="98"/>
      <c r="S66" s="98"/>
      <c r="T66" s="98"/>
      <c r="U66" s="98"/>
      <c r="V66" s="98"/>
      <c r="W66" s="98"/>
      <c r="X66" s="98"/>
      <c r="Y66" s="98"/>
      <c r="Z66" s="98"/>
    </row>
    <row r="67" spans="1:26" ht="15.75">
      <c r="A67" s="700">
        <v>9</v>
      </c>
      <c r="B67" s="769" t="s">
        <v>28</v>
      </c>
      <c r="C67" s="769" t="s">
        <v>294</v>
      </c>
      <c r="D67" s="94" t="s">
        <v>295</v>
      </c>
      <c r="E67" s="95"/>
      <c r="F67" s="28"/>
      <c r="G67" s="96"/>
      <c r="H67" s="28"/>
      <c r="I67" s="97"/>
      <c r="J67" s="98"/>
      <c r="K67" s="98"/>
      <c r="L67" s="98"/>
      <c r="M67" s="98"/>
      <c r="N67" s="98"/>
      <c r="O67" s="98"/>
      <c r="P67" s="98"/>
      <c r="Q67" s="98"/>
      <c r="R67" s="98"/>
      <c r="S67" s="98"/>
      <c r="T67" s="98"/>
      <c r="U67" s="98"/>
      <c r="V67" s="98"/>
      <c r="W67" s="98"/>
      <c r="X67" s="98"/>
      <c r="Y67" s="98"/>
      <c r="Z67" s="98"/>
    </row>
    <row r="68" spans="1:26" ht="15.75">
      <c r="A68" s="767"/>
      <c r="B68" s="767"/>
      <c r="C68" s="768"/>
      <c r="D68" s="94" t="s">
        <v>329</v>
      </c>
      <c r="E68" s="95"/>
      <c r="F68" s="28"/>
      <c r="G68" s="96"/>
      <c r="H68" s="28"/>
      <c r="I68" s="97"/>
      <c r="J68" s="98"/>
      <c r="K68" s="98"/>
      <c r="L68" s="98"/>
      <c r="M68" s="98"/>
      <c r="N68" s="98"/>
      <c r="O68" s="98"/>
      <c r="P68" s="98"/>
      <c r="Q68" s="98"/>
      <c r="R68" s="98"/>
      <c r="S68" s="98"/>
      <c r="T68" s="98"/>
      <c r="U68" s="98"/>
      <c r="V68" s="98"/>
      <c r="W68" s="98"/>
      <c r="X68" s="98"/>
      <c r="Y68" s="98"/>
      <c r="Z68" s="98"/>
    </row>
    <row r="69" spans="1:26" ht="15.75">
      <c r="A69" s="767"/>
      <c r="B69" s="767"/>
      <c r="C69" s="769" t="s">
        <v>330</v>
      </c>
      <c r="D69" s="94" t="s">
        <v>295</v>
      </c>
      <c r="E69" s="95"/>
      <c r="F69" s="28"/>
      <c r="G69" s="96"/>
      <c r="H69" s="28"/>
      <c r="I69" s="97"/>
      <c r="J69" s="98"/>
      <c r="K69" s="98"/>
      <c r="L69" s="98"/>
      <c r="M69" s="98"/>
      <c r="N69" s="98"/>
      <c r="O69" s="98"/>
      <c r="P69" s="98"/>
      <c r="Q69" s="98"/>
      <c r="R69" s="98"/>
      <c r="S69" s="98"/>
      <c r="T69" s="98"/>
      <c r="U69" s="98"/>
      <c r="V69" s="98"/>
      <c r="W69" s="98"/>
      <c r="X69" s="98"/>
      <c r="Y69" s="98"/>
      <c r="Z69" s="98"/>
    </row>
    <row r="70" spans="1:26" ht="15.75">
      <c r="A70" s="768"/>
      <c r="B70" s="768"/>
      <c r="C70" s="768"/>
      <c r="D70" s="94" t="s">
        <v>329</v>
      </c>
      <c r="E70" s="95"/>
      <c r="F70" s="28"/>
      <c r="G70" s="96"/>
      <c r="H70" s="28"/>
      <c r="I70" s="97"/>
      <c r="J70" s="98"/>
      <c r="K70" s="98"/>
      <c r="L70" s="98"/>
      <c r="M70" s="98"/>
      <c r="N70" s="98"/>
      <c r="O70" s="98"/>
      <c r="P70" s="98"/>
      <c r="Q70" s="98"/>
      <c r="R70" s="98"/>
      <c r="S70" s="98"/>
      <c r="T70" s="98"/>
      <c r="U70" s="98"/>
      <c r="V70" s="98"/>
      <c r="W70" s="98"/>
      <c r="X70" s="98"/>
      <c r="Y70" s="98"/>
      <c r="Z70" s="98"/>
    </row>
    <row r="71" spans="1:26" ht="15.75">
      <c r="A71" s="700">
        <v>10</v>
      </c>
      <c r="B71" s="769" t="s">
        <v>57</v>
      </c>
      <c r="C71" s="769" t="s">
        <v>294</v>
      </c>
      <c r="D71" s="106" t="s">
        <v>356</v>
      </c>
      <c r="E71" s="95"/>
      <c r="F71" s="28"/>
      <c r="G71" s="96"/>
      <c r="H71" s="28"/>
      <c r="I71" s="97"/>
      <c r="J71" s="98"/>
      <c r="K71" s="98"/>
      <c r="L71" s="98"/>
      <c r="M71" s="98"/>
      <c r="N71" s="98"/>
      <c r="O71" s="98"/>
      <c r="P71" s="98"/>
      <c r="Q71" s="98"/>
      <c r="R71" s="98"/>
      <c r="S71" s="98"/>
      <c r="T71" s="98"/>
      <c r="U71" s="98"/>
      <c r="V71" s="98"/>
      <c r="W71" s="98"/>
      <c r="X71" s="98"/>
      <c r="Y71" s="98"/>
      <c r="Z71" s="98"/>
    </row>
    <row r="72" spans="1:26" ht="15.75">
      <c r="A72" s="767"/>
      <c r="B72" s="767"/>
      <c r="C72" s="768"/>
      <c r="D72" s="93" t="s">
        <v>329</v>
      </c>
      <c r="E72" s="95"/>
      <c r="F72" s="28"/>
      <c r="G72" s="96"/>
      <c r="H72" s="28"/>
      <c r="I72" s="97"/>
      <c r="J72" s="98"/>
      <c r="K72" s="98"/>
      <c r="L72" s="98"/>
      <c r="M72" s="98"/>
      <c r="N72" s="98"/>
      <c r="O72" s="98"/>
      <c r="P72" s="98"/>
      <c r="Q72" s="98"/>
      <c r="R72" s="98"/>
      <c r="S72" s="98"/>
      <c r="T72" s="98"/>
      <c r="U72" s="98"/>
      <c r="V72" s="98"/>
      <c r="W72" s="98"/>
      <c r="X72" s="98"/>
      <c r="Y72" s="98"/>
      <c r="Z72" s="98"/>
    </row>
    <row r="73" spans="1:26" ht="15.75">
      <c r="A73" s="767"/>
      <c r="B73" s="767"/>
      <c r="C73" s="769" t="s">
        <v>330</v>
      </c>
      <c r="D73" s="106" t="s">
        <v>357</v>
      </c>
      <c r="E73" s="95"/>
      <c r="F73" s="28"/>
      <c r="G73" s="96"/>
      <c r="H73" s="28"/>
      <c r="I73" s="97"/>
      <c r="J73" s="98"/>
      <c r="K73" s="98"/>
      <c r="L73" s="98"/>
      <c r="M73" s="98"/>
      <c r="N73" s="98"/>
      <c r="O73" s="98"/>
      <c r="P73" s="98"/>
      <c r="Q73" s="98"/>
      <c r="R73" s="98"/>
      <c r="S73" s="98"/>
      <c r="T73" s="98"/>
      <c r="U73" s="98"/>
      <c r="V73" s="98"/>
      <c r="W73" s="98"/>
      <c r="X73" s="98"/>
      <c r="Y73" s="98"/>
      <c r="Z73" s="98"/>
    </row>
    <row r="74" spans="1:26" ht="15.75">
      <c r="A74" s="768"/>
      <c r="B74" s="768"/>
      <c r="C74" s="768"/>
      <c r="D74" s="93" t="s">
        <v>329</v>
      </c>
      <c r="E74" s="95"/>
      <c r="F74" s="28"/>
      <c r="G74" s="96"/>
      <c r="H74" s="28"/>
      <c r="I74" s="97"/>
      <c r="J74" s="98"/>
      <c r="K74" s="98"/>
      <c r="L74" s="98"/>
      <c r="M74" s="98"/>
      <c r="N74" s="98"/>
      <c r="O74" s="98"/>
      <c r="P74" s="98"/>
      <c r="Q74" s="98"/>
      <c r="R74" s="98"/>
      <c r="S74" s="98"/>
      <c r="T74" s="98"/>
      <c r="U74" s="98"/>
      <c r="V74" s="98"/>
      <c r="W74" s="98"/>
      <c r="X74" s="98"/>
      <c r="Y74" s="98"/>
      <c r="Z74" s="98"/>
    </row>
    <row r="75" spans="1:26" ht="15.75">
      <c r="A75" s="700">
        <v>11</v>
      </c>
      <c r="B75" s="769" t="s">
        <v>358</v>
      </c>
      <c r="C75" s="760" t="s">
        <v>294</v>
      </c>
      <c r="D75" s="762"/>
      <c r="E75" s="95"/>
      <c r="F75" s="28"/>
      <c r="G75" s="96"/>
      <c r="H75" s="28"/>
      <c r="I75" s="97"/>
      <c r="J75" s="98"/>
      <c r="K75" s="98"/>
      <c r="L75" s="98"/>
      <c r="M75" s="98"/>
      <c r="N75" s="98"/>
      <c r="O75" s="98"/>
      <c r="P75" s="98"/>
      <c r="Q75" s="98"/>
      <c r="R75" s="98"/>
      <c r="S75" s="98"/>
      <c r="T75" s="98"/>
      <c r="U75" s="98"/>
      <c r="V75" s="98"/>
      <c r="W75" s="98"/>
      <c r="X75" s="98"/>
      <c r="Y75" s="98"/>
      <c r="Z75" s="98"/>
    </row>
    <row r="76" spans="1:26" ht="15.75">
      <c r="A76" s="768"/>
      <c r="B76" s="768"/>
      <c r="C76" s="760" t="s">
        <v>330</v>
      </c>
      <c r="D76" s="762"/>
      <c r="E76" s="95"/>
      <c r="F76" s="28"/>
      <c r="G76" s="96"/>
      <c r="H76" s="28"/>
      <c r="I76" s="97"/>
      <c r="J76" s="98"/>
      <c r="K76" s="98"/>
      <c r="L76" s="98"/>
      <c r="M76" s="98"/>
      <c r="N76" s="98"/>
      <c r="O76" s="98"/>
      <c r="P76" s="98"/>
      <c r="Q76" s="98"/>
      <c r="R76" s="98"/>
      <c r="S76" s="98"/>
      <c r="T76" s="98"/>
      <c r="U76" s="98"/>
      <c r="V76" s="98"/>
      <c r="W76" s="98"/>
      <c r="X76" s="98"/>
      <c r="Y76" s="98"/>
      <c r="Z76" s="98"/>
    </row>
    <row r="77" spans="1:26" ht="15.75">
      <c r="A77" s="700">
        <v>12</v>
      </c>
      <c r="B77" s="771" t="s">
        <v>359</v>
      </c>
      <c r="C77" s="760" t="s">
        <v>294</v>
      </c>
      <c r="D77" s="762"/>
      <c r="E77" s="95"/>
      <c r="F77" s="28"/>
      <c r="G77" s="96"/>
      <c r="H77" s="28"/>
      <c r="I77" s="97"/>
      <c r="J77" s="98"/>
      <c r="K77" s="98"/>
      <c r="L77" s="98"/>
      <c r="M77" s="98"/>
      <c r="N77" s="98"/>
      <c r="O77" s="98"/>
      <c r="P77" s="98"/>
      <c r="Q77" s="98"/>
      <c r="R77" s="98"/>
      <c r="S77" s="98"/>
      <c r="T77" s="98"/>
      <c r="U77" s="98"/>
      <c r="V77" s="98"/>
      <c r="W77" s="98"/>
      <c r="X77" s="98"/>
      <c r="Y77" s="98"/>
      <c r="Z77" s="98"/>
    </row>
    <row r="78" spans="1:26" ht="15.75">
      <c r="A78" s="768"/>
      <c r="B78" s="768"/>
      <c r="C78" s="760" t="s">
        <v>330</v>
      </c>
      <c r="D78" s="762"/>
      <c r="E78" s="95"/>
      <c r="F78" s="28"/>
      <c r="G78" s="96"/>
      <c r="H78" s="28"/>
      <c r="I78" s="97"/>
      <c r="J78" s="98"/>
      <c r="K78" s="98"/>
      <c r="L78" s="98"/>
      <c r="M78" s="98"/>
      <c r="N78" s="98"/>
      <c r="O78" s="98"/>
      <c r="P78" s="98"/>
      <c r="Q78" s="98"/>
      <c r="R78" s="98"/>
      <c r="S78" s="98"/>
      <c r="T78" s="98"/>
      <c r="U78" s="98"/>
      <c r="V78" s="98"/>
      <c r="W78" s="98"/>
      <c r="X78" s="98"/>
      <c r="Y78" s="98"/>
      <c r="Z78" s="98"/>
    </row>
    <row r="79" spans="1:26" ht="15.75">
      <c r="A79" s="700">
        <v>13</v>
      </c>
      <c r="B79" s="769" t="s">
        <v>33</v>
      </c>
      <c r="C79" s="760" t="s">
        <v>294</v>
      </c>
      <c r="D79" s="762"/>
      <c r="E79" s="95"/>
      <c r="F79" s="28"/>
      <c r="G79" s="96"/>
      <c r="H79" s="28"/>
      <c r="I79" s="97"/>
      <c r="J79" s="98"/>
      <c r="K79" s="98"/>
      <c r="L79" s="98"/>
      <c r="M79" s="98"/>
      <c r="N79" s="98"/>
      <c r="O79" s="98"/>
      <c r="P79" s="98"/>
      <c r="Q79" s="98"/>
      <c r="R79" s="98"/>
      <c r="S79" s="98"/>
      <c r="T79" s="98"/>
      <c r="U79" s="98"/>
      <c r="V79" s="98"/>
      <c r="W79" s="98"/>
      <c r="X79" s="98"/>
      <c r="Y79" s="98"/>
      <c r="Z79" s="98"/>
    </row>
    <row r="80" spans="1:26" ht="15.75">
      <c r="A80" s="768"/>
      <c r="B80" s="768"/>
      <c r="C80" s="760" t="s">
        <v>330</v>
      </c>
      <c r="D80" s="762"/>
      <c r="E80" s="95"/>
      <c r="F80" s="28"/>
      <c r="G80" s="96"/>
      <c r="H80" s="28"/>
      <c r="I80" s="97"/>
      <c r="J80" s="98"/>
      <c r="K80" s="98"/>
      <c r="L80" s="98"/>
      <c r="M80" s="98"/>
      <c r="N80" s="98"/>
      <c r="O80" s="98"/>
      <c r="P80" s="98"/>
      <c r="Q80" s="98"/>
      <c r="R80" s="98"/>
      <c r="S80" s="98"/>
      <c r="T80" s="98"/>
      <c r="U80" s="98"/>
      <c r="V80" s="98"/>
      <c r="W80" s="98"/>
      <c r="X80" s="98"/>
      <c r="Y80" s="98"/>
      <c r="Z80" s="98"/>
    </row>
    <row r="81" spans="1:26" ht="15.75">
      <c r="A81" s="700">
        <v>14</v>
      </c>
      <c r="B81" s="769" t="s">
        <v>34</v>
      </c>
      <c r="C81" s="769" t="s">
        <v>294</v>
      </c>
      <c r="D81" s="94" t="s">
        <v>295</v>
      </c>
      <c r="E81" s="95"/>
      <c r="F81" s="28"/>
      <c r="G81" s="96"/>
      <c r="H81" s="28"/>
      <c r="I81" s="97"/>
      <c r="J81" s="98"/>
      <c r="K81" s="98"/>
      <c r="L81" s="98"/>
      <c r="M81" s="98"/>
      <c r="N81" s="98"/>
      <c r="O81" s="98"/>
      <c r="P81" s="98"/>
      <c r="Q81" s="98"/>
      <c r="R81" s="98"/>
      <c r="S81" s="98"/>
      <c r="T81" s="98"/>
      <c r="U81" s="98"/>
      <c r="V81" s="98"/>
      <c r="W81" s="98"/>
      <c r="X81" s="98"/>
      <c r="Y81" s="98"/>
      <c r="Z81" s="98"/>
    </row>
    <row r="82" spans="1:26" ht="15.75">
      <c r="A82" s="767"/>
      <c r="B82" s="767"/>
      <c r="C82" s="768"/>
      <c r="D82" s="94" t="s">
        <v>329</v>
      </c>
      <c r="E82" s="95"/>
      <c r="F82" s="28"/>
      <c r="G82" s="96"/>
      <c r="H82" s="28"/>
      <c r="I82" s="97"/>
      <c r="J82" s="98"/>
      <c r="K82" s="98"/>
      <c r="L82" s="98"/>
      <c r="M82" s="98"/>
      <c r="N82" s="98"/>
      <c r="O82" s="98"/>
      <c r="P82" s="98"/>
      <c r="Q82" s="98"/>
      <c r="R82" s="98"/>
      <c r="S82" s="98"/>
      <c r="T82" s="98"/>
      <c r="U82" s="98"/>
      <c r="V82" s="98"/>
      <c r="W82" s="98"/>
      <c r="X82" s="98"/>
      <c r="Y82" s="98"/>
      <c r="Z82" s="98"/>
    </row>
    <row r="83" spans="1:26" ht="15.75">
      <c r="A83" s="767"/>
      <c r="B83" s="767"/>
      <c r="C83" s="769" t="s">
        <v>330</v>
      </c>
      <c r="D83" s="94" t="s">
        <v>295</v>
      </c>
      <c r="E83" s="95"/>
      <c r="F83" s="28"/>
      <c r="G83" s="96"/>
      <c r="H83" s="28"/>
      <c r="I83" s="97"/>
      <c r="J83" s="98"/>
      <c r="K83" s="98"/>
      <c r="L83" s="98"/>
      <c r="M83" s="98"/>
      <c r="N83" s="98"/>
      <c r="O83" s="98"/>
      <c r="P83" s="98"/>
      <c r="Q83" s="98"/>
      <c r="R83" s="98"/>
      <c r="S83" s="98"/>
      <c r="T83" s="98"/>
      <c r="U83" s="98"/>
      <c r="V83" s="98"/>
      <c r="W83" s="98"/>
      <c r="X83" s="98"/>
      <c r="Y83" s="98"/>
      <c r="Z83" s="98"/>
    </row>
    <row r="84" spans="1:26" ht="15.75">
      <c r="A84" s="768"/>
      <c r="B84" s="768"/>
      <c r="C84" s="768"/>
      <c r="D84" s="94" t="s">
        <v>329</v>
      </c>
      <c r="E84" s="95"/>
      <c r="F84" s="28"/>
      <c r="G84" s="96"/>
      <c r="H84" s="28"/>
      <c r="I84" s="97"/>
      <c r="J84" s="98"/>
      <c r="K84" s="98"/>
      <c r="L84" s="98"/>
      <c r="M84" s="98"/>
      <c r="N84" s="98"/>
      <c r="O84" s="98"/>
      <c r="P84" s="98"/>
      <c r="Q84" s="98"/>
      <c r="R84" s="98"/>
      <c r="S84" s="98"/>
      <c r="T84" s="98"/>
      <c r="U84" s="98"/>
      <c r="V84" s="98"/>
      <c r="W84" s="98"/>
      <c r="X84" s="98"/>
      <c r="Y84" s="98"/>
      <c r="Z84" s="98"/>
    </row>
    <row r="85" spans="1:26" ht="15.75">
      <c r="A85" s="700">
        <v>15</v>
      </c>
      <c r="B85" s="769" t="s">
        <v>35</v>
      </c>
      <c r="C85" s="760" t="s">
        <v>294</v>
      </c>
      <c r="D85" s="762"/>
      <c r="E85" s="95"/>
      <c r="F85" s="28"/>
      <c r="G85" s="96"/>
      <c r="H85" s="28"/>
      <c r="I85" s="97"/>
      <c r="J85" s="98"/>
      <c r="K85" s="98"/>
      <c r="L85" s="98"/>
      <c r="M85" s="98"/>
      <c r="N85" s="98"/>
      <c r="O85" s="98"/>
      <c r="P85" s="98"/>
      <c r="Q85" s="98"/>
      <c r="R85" s="98"/>
      <c r="S85" s="98"/>
      <c r="T85" s="98"/>
      <c r="U85" s="98"/>
      <c r="V85" s="98"/>
      <c r="W85" s="98"/>
      <c r="X85" s="98"/>
      <c r="Y85" s="98"/>
      <c r="Z85" s="98"/>
    </row>
    <row r="86" spans="1:26" ht="15.75">
      <c r="A86" s="767"/>
      <c r="B86" s="767"/>
      <c r="C86" s="760" t="s">
        <v>330</v>
      </c>
      <c r="D86" s="762"/>
      <c r="E86" s="101"/>
      <c r="F86" s="28"/>
      <c r="G86" s="96"/>
      <c r="H86" s="28"/>
      <c r="I86" s="97"/>
      <c r="J86" s="98"/>
      <c r="K86" s="98"/>
      <c r="L86" s="98"/>
      <c r="M86" s="98"/>
      <c r="N86" s="98"/>
      <c r="O86" s="98"/>
      <c r="P86" s="98"/>
      <c r="Q86" s="98"/>
      <c r="R86" s="98"/>
      <c r="S86" s="98"/>
      <c r="T86" s="98"/>
      <c r="U86" s="98"/>
      <c r="V86" s="98"/>
      <c r="W86" s="98"/>
      <c r="X86" s="98"/>
      <c r="Y86" s="98"/>
      <c r="Z86" s="98"/>
    </row>
    <row r="87" spans="1:26" ht="15.75">
      <c r="A87" s="700">
        <v>16</v>
      </c>
      <c r="B87" s="769" t="s">
        <v>36</v>
      </c>
      <c r="C87" s="760" t="s">
        <v>294</v>
      </c>
      <c r="D87" s="762"/>
      <c r="E87" s="95"/>
      <c r="F87" s="28"/>
      <c r="G87" s="96"/>
      <c r="H87" s="28"/>
      <c r="I87" s="97"/>
      <c r="J87" s="98"/>
      <c r="K87" s="98"/>
      <c r="L87" s="98"/>
      <c r="M87" s="98"/>
      <c r="N87" s="98"/>
      <c r="O87" s="98"/>
      <c r="P87" s="98"/>
      <c r="Q87" s="98"/>
      <c r="R87" s="98"/>
      <c r="S87" s="98"/>
      <c r="T87" s="98"/>
      <c r="U87" s="98"/>
      <c r="V87" s="98"/>
      <c r="W87" s="98"/>
      <c r="X87" s="98"/>
      <c r="Y87" s="98"/>
      <c r="Z87" s="98"/>
    </row>
    <row r="88" spans="1:26" ht="15.75">
      <c r="A88" s="767"/>
      <c r="B88" s="767"/>
      <c r="C88" s="760" t="s">
        <v>330</v>
      </c>
      <c r="D88" s="762"/>
      <c r="E88" s="101"/>
      <c r="F88" s="28"/>
      <c r="G88" s="96"/>
      <c r="H88" s="28"/>
      <c r="I88" s="97"/>
      <c r="J88" s="98"/>
      <c r="K88" s="98"/>
      <c r="L88" s="98"/>
      <c r="M88" s="98"/>
      <c r="N88" s="98"/>
      <c r="O88" s="98"/>
      <c r="P88" s="98"/>
      <c r="Q88" s="98"/>
      <c r="R88" s="98"/>
      <c r="S88" s="98"/>
      <c r="T88" s="98"/>
      <c r="U88" s="98"/>
      <c r="V88" s="98"/>
      <c r="W88" s="98"/>
      <c r="X88" s="98"/>
      <c r="Y88" s="98"/>
      <c r="Z88" s="98"/>
    </row>
    <row r="89" spans="1:26" ht="15.75">
      <c r="A89" s="700">
        <v>17</v>
      </c>
      <c r="B89" s="769" t="s">
        <v>37</v>
      </c>
      <c r="C89" s="760" t="s">
        <v>294</v>
      </c>
      <c r="D89" s="762"/>
      <c r="E89" s="95"/>
      <c r="F89" s="28"/>
      <c r="G89" s="96"/>
      <c r="H89" s="28"/>
      <c r="I89" s="97"/>
      <c r="J89" s="98"/>
      <c r="K89" s="98"/>
      <c r="L89" s="98"/>
      <c r="M89" s="98"/>
      <c r="N89" s="98"/>
      <c r="O89" s="98"/>
      <c r="P89" s="98"/>
      <c r="Q89" s="98"/>
      <c r="R89" s="98"/>
      <c r="S89" s="98"/>
      <c r="T89" s="98"/>
      <c r="U89" s="98"/>
      <c r="V89" s="98"/>
      <c r="W89" s="98"/>
      <c r="X89" s="98"/>
      <c r="Y89" s="98"/>
      <c r="Z89" s="98"/>
    </row>
    <row r="90" spans="1:26" ht="15.75">
      <c r="A90" s="767"/>
      <c r="B90" s="767"/>
      <c r="C90" s="760" t="s">
        <v>330</v>
      </c>
      <c r="D90" s="762"/>
      <c r="E90" s="101"/>
      <c r="F90" s="28"/>
      <c r="G90" s="96"/>
      <c r="H90" s="28"/>
      <c r="I90" s="97"/>
      <c r="J90" s="98"/>
      <c r="K90" s="98"/>
      <c r="L90" s="98"/>
      <c r="M90" s="98"/>
      <c r="N90" s="98"/>
      <c r="O90" s="98"/>
      <c r="P90" s="98"/>
      <c r="Q90" s="98"/>
      <c r="R90" s="98"/>
      <c r="S90" s="98"/>
      <c r="T90" s="98"/>
      <c r="U90" s="98"/>
      <c r="V90" s="98"/>
      <c r="W90" s="98"/>
      <c r="X90" s="98"/>
      <c r="Y90" s="98"/>
      <c r="Z90" s="98"/>
    </row>
    <row r="91" spans="1:26" ht="15.75">
      <c r="A91" s="700">
        <v>18</v>
      </c>
      <c r="B91" s="769" t="s">
        <v>38</v>
      </c>
      <c r="C91" s="760" t="s">
        <v>294</v>
      </c>
      <c r="D91" s="762"/>
      <c r="E91" s="95"/>
      <c r="F91" s="28"/>
      <c r="G91" s="96"/>
      <c r="H91" s="28"/>
      <c r="I91" s="97"/>
      <c r="J91" s="98"/>
      <c r="K91" s="98"/>
      <c r="L91" s="98"/>
      <c r="M91" s="98"/>
      <c r="N91" s="98"/>
      <c r="O91" s="98"/>
      <c r="P91" s="98"/>
      <c r="Q91" s="98"/>
      <c r="R91" s="98"/>
      <c r="S91" s="98"/>
      <c r="T91" s="98"/>
      <c r="U91" s="98"/>
      <c r="V91" s="98"/>
      <c r="W91" s="98"/>
      <c r="X91" s="98"/>
      <c r="Y91" s="98"/>
      <c r="Z91" s="98"/>
    </row>
    <row r="92" spans="1:26" ht="15.75">
      <c r="A92" s="767"/>
      <c r="B92" s="767"/>
      <c r="C92" s="760" t="s">
        <v>330</v>
      </c>
      <c r="D92" s="762"/>
      <c r="E92" s="101"/>
      <c r="F92" s="28"/>
      <c r="G92" s="96"/>
      <c r="H92" s="28"/>
      <c r="I92" s="97"/>
      <c r="J92" s="98"/>
      <c r="K92" s="98"/>
      <c r="L92" s="98"/>
      <c r="M92" s="98"/>
      <c r="N92" s="98"/>
      <c r="O92" s="98"/>
      <c r="P92" s="98"/>
      <c r="Q92" s="98"/>
      <c r="R92" s="98"/>
      <c r="S92" s="98"/>
      <c r="T92" s="98"/>
      <c r="U92" s="98"/>
      <c r="V92" s="98"/>
      <c r="W92" s="98"/>
      <c r="X92" s="98"/>
      <c r="Y92" s="98"/>
      <c r="Z92" s="98"/>
    </row>
    <row r="93" spans="1:26" ht="15.75">
      <c r="A93" s="700">
        <v>19</v>
      </c>
      <c r="B93" s="769" t="s">
        <v>39</v>
      </c>
      <c r="C93" s="760" t="s">
        <v>294</v>
      </c>
      <c r="D93" s="762"/>
      <c r="E93" s="95"/>
      <c r="F93" s="28"/>
      <c r="G93" s="96"/>
      <c r="H93" s="28"/>
      <c r="I93" s="97"/>
      <c r="J93" s="98"/>
      <c r="K93" s="98"/>
      <c r="L93" s="98"/>
      <c r="M93" s="98"/>
      <c r="N93" s="98"/>
      <c r="O93" s="98"/>
      <c r="P93" s="98"/>
      <c r="Q93" s="98"/>
      <c r="R93" s="98"/>
      <c r="S93" s="98"/>
      <c r="T93" s="98"/>
      <c r="U93" s="98"/>
      <c r="V93" s="98"/>
      <c r="W93" s="98"/>
      <c r="X93" s="98"/>
      <c r="Y93" s="98"/>
      <c r="Z93" s="98"/>
    </row>
    <row r="94" spans="1:26" ht="15.75">
      <c r="A94" s="767"/>
      <c r="B94" s="767"/>
      <c r="C94" s="760" t="s">
        <v>330</v>
      </c>
      <c r="D94" s="762"/>
      <c r="E94" s="101"/>
      <c r="F94" s="28"/>
      <c r="G94" s="96"/>
      <c r="H94" s="28"/>
      <c r="I94" s="97"/>
      <c r="J94" s="98"/>
      <c r="K94" s="98"/>
      <c r="L94" s="98"/>
      <c r="M94" s="98"/>
      <c r="N94" s="98"/>
      <c r="O94" s="98"/>
      <c r="P94" s="98"/>
      <c r="Q94" s="98"/>
      <c r="R94" s="98"/>
      <c r="S94" s="98"/>
      <c r="T94" s="98"/>
      <c r="U94" s="98"/>
      <c r="V94" s="98"/>
      <c r="W94" s="98"/>
      <c r="X94" s="98"/>
      <c r="Y94" s="98"/>
      <c r="Z94" s="98"/>
    </row>
    <row r="95" spans="1:26" ht="15.75">
      <c r="A95" s="700">
        <v>20</v>
      </c>
      <c r="B95" s="769" t="s">
        <v>40</v>
      </c>
      <c r="C95" s="760" t="s">
        <v>294</v>
      </c>
      <c r="D95" s="762"/>
      <c r="E95" s="95"/>
      <c r="F95" s="28"/>
      <c r="G95" s="96"/>
      <c r="H95" s="28"/>
      <c r="I95" s="97"/>
      <c r="J95" s="98"/>
      <c r="K95" s="98"/>
      <c r="L95" s="98"/>
      <c r="M95" s="98"/>
      <c r="N95" s="98"/>
      <c r="O95" s="98"/>
      <c r="P95" s="98"/>
      <c r="Q95" s="98"/>
      <c r="R95" s="98"/>
      <c r="S95" s="98"/>
      <c r="T95" s="98"/>
      <c r="U95" s="98"/>
      <c r="V95" s="98"/>
      <c r="W95" s="98"/>
      <c r="X95" s="98"/>
      <c r="Y95" s="98"/>
      <c r="Z95" s="98"/>
    </row>
    <row r="96" spans="1:26" ht="15.75">
      <c r="A96" s="767"/>
      <c r="B96" s="767"/>
      <c r="C96" s="760" t="s">
        <v>330</v>
      </c>
      <c r="D96" s="762"/>
      <c r="E96" s="101"/>
      <c r="F96" s="28"/>
      <c r="G96" s="96"/>
      <c r="H96" s="28"/>
      <c r="I96" s="97"/>
      <c r="J96" s="98"/>
      <c r="K96" s="98"/>
      <c r="L96" s="98"/>
      <c r="M96" s="98"/>
      <c r="N96" s="98"/>
      <c r="O96" s="98"/>
      <c r="P96" s="98"/>
      <c r="Q96" s="98"/>
      <c r="R96" s="98"/>
      <c r="S96" s="98"/>
      <c r="T96" s="98"/>
      <c r="U96" s="98"/>
      <c r="V96" s="98"/>
      <c r="W96" s="98"/>
      <c r="X96" s="98"/>
      <c r="Y96" s="98"/>
      <c r="Z96" s="98"/>
    </row>
    <row r="97" spans="1:26" ht="15.75">
      <c r="A97" s="700">
        <v>21</v>
      </c>
      <c r="B97" s="769" t="s">
        <v>41</v>
      </c>
      <c r="C97" s="760" t="s">
        <v>294</v>
      </c>
      <c r="D97" s="762"/>
      <c r="E97" s="95"/>
      <c r="F97" s="28"/>
      <c r="G97" s="96"/>
      <c r="H97" s="28"/>
      <c r="I97" s="97"/>
      <c r="J97" s="98"/>
      <c r="K97" s="98"/>
      <c r="L97" s="98"/>
      <c r="M97" s="98"/>
      <c r="N97" s="98"/>
      <c r="O97" s="98"/>
      <c r="P97" s="98"/>
      <c r="Q97" s="98"/>
      <c r="R97" s="98"/>
      <c r="S97" s="98"/>
      <c r="T97" s="98"/>
      <c r="U97" s="98"/>
      <c r="V97" s="98"/>
      <c r="W97" s="98"/>
      <c r="X97" s="98"/>
      <c r="Y97" s="98"/>
      <c r="Z97" s="98"/>
    </row>
    <row r="98" spans="1:26" ht="15.75">
      <c r="A98" s="767"/>
      <c r="B98" s="767"/>
      <c r="C98" s="760" t="s">
        <v>330</v>
      </c>
      <c r="D98" s="762"/>
      <c r="E98" s="101"/>
      <c r="F98" s="28"/>
      <c r="G98" s="96"/>
      <c r="H98" s="28"/>
      <c r="I98" s="97"/>
      <c r="J98" s="98"/>
      <c r="K98" s="98"/>
      <c r="L98" s="98"/>
      <c r="M98" s="98"/>
      <c r="N98" s="98"/>
      <c r="O98" s="98"/>
      <c r="P98" s="98"/>
      <c r="Q98" s="98"/>
      <c r="R98" s="98"/>
      <c r="S98" s="98"/>
      <c r="T98" s="98"/>
      <c r="U98" s="98"/>
      <c r="V98" s="98"/>
      <c r="W98" s="98"/>
      <c r="X98" s="98"/>
      <c r="Y98" s="98"/>
      <c r="Z98" s="98"/>
    </row>
    <row r="99" spans="1:26" ht="15.75">
      <c r="A99" s="700">
        <v>22</v>
      </c>
      <c r="B99" s="769" t="s">
        <v>360</v>
      </c>
      <c r="C99" s="760" t="s">
        <v>361</v>
      </c>
      <c r="D99" s="762"/>
      <c r="E99" s="95"/>
      <c r="F99" s="28"/>
      <c r="G99" s="96"/>
      <c r="H99" s="28"/>
      <c r="I99" s="97"/>
      <c r="J99" s="98"/>
      <c r="K99" s="98"/>
      <c r="L99" s="98"/>
      <c r="M99" s="98"/>
      <c r="N99" s="98"/>
      <c r="O99" s="98"/>
      <c r="P99" s="98"/>
      <c r="Q99" s="98"/>
      <c r="R99" s="98"/>
      <c r="S99" s="98"/>
      <c r="T99" s="98"/>
      <c r="U99" s="98"/>
      <c r="V99" s="98"/>
      <c r="W99" s="98"/>
      <c r="X99" s="98"/>
      <c r="Y99" s="98"/>
      <c r="Z99" s="98"/>
    </row>
    <row r="100" spans="1:26" ht="15.75">
      <c r="A100" s="767"/>
      <c r="B100" s="767"/>
      <c r="C100" s="760" t="s">
        <v>362</v>
      </c>
      <c r="D100" s="762"/>
      <c r="E100" s="95"/>
      <c r="F100" s="28"/>
      <c r="G100" s="96"/>
      <c r="H100" s="28"/>
      <c r="I100" s="97"/>
      <c r="J100" s="98"/>
      <c r="K100" s="98"/>
      <c r="L100" s="98"/>
      <c r="M100" s="98"/>
      <c r="N100" s="98"/>
      <c r="O100" s="98"/>
      <c r="P100" s="98"/>
      <c r="Q100" s="98"/>
      <c r="R100" s="98"/>
      <c r="S100" s="98"/>
      <c r="T100" s="98"/>
      <c r="U100" s="98"/>
      <c r="V100" s="98"/>
      <c r="W100" s="98"/>
      <c r="X100" s="98"/>
      <c r="Y100" s="98"/>
      <c r="Z100" s="98"/>
    </row>
    <row r="101" spans="1:26" ht="15.75">
      <c r="A101" s="767"/>
      <c r="B101" s="767"/>
      <c r="C101" s="760" t="s">
        <v>63</v>
      </c>
      <c r="D101" s="762"/>
      <c r="E101" s="95"/>
      <c r="F101" s="28"/>
      <c r="G101" s="96"/>
      <c r="H101" s="28"/>
      <c r="I101" s="97"/>
      <c r="J101" s="98"/>
      <c r="K101" s="98"/>
      <c r="L101" s="98"/>
      <c r="M101" s="98"/>
      <c r="N101" s="98"/>
      <c r="O101" s="98"/>
      <c r="P101" s="98"/>
      <c r="Q101" s="98"/>
      <c r="R101" s="98"/>
      <c r="S101" s="98"/>
      <c r="T101" s="98"/>
      <c r="U101" s="98"/>
      <c r="V101" s="98"/>
      <c r="W101" s="98"/>
      <c r="X101" s="98"/>
      <c r="Y101" s="98"/>
      <c r="Z101" s="98"/>
    </row>
    <row r="102" spans="1:26" ht="15.75">
      <c r="A102" s="767"/>
      <c r="B102" s="767"/>
      <c r="C102" s="760" t="s">
        <v>363</v>
      </c>
      <c r="D102" s="762"/>
      <c r="E102" s="95"/>
      <c r="F102" s="28"/>
      <c r="G102" s="96"/>
      <c r="H102" s="28"/>
      <c r="I102" s="97"/>
      <c r="J102" s="98"/>
      <c r="K102" s="98"/>
      <c r="L102" s="98"/>
      <c r="M102" s="98"/>
      <c r="N102" s="98"/>
      <c r="O102" s="98"/>
      <c r="P102" s="98"/>
      <c r="Q102" s="98"/>
      <c r="R102" s="98"/>
      <c r="S102" s="98"/>
      <c r="T102" s="98"/>
      <c r="U102" s="98"/>
      <c r="V102" s="98"/>
      <c r="W102" s="98"/>
      <c r="X102" s="98"/>
      <c r="Y102" s="98"/>
      <c r="Z102" s="98"/>
    </row>
    <row r="103" spans="1:26" ht="15.75">
      <c r="A103" s="767"/>
      <c r="B103" s="767"/>
      <c r="C103" s="760" t="s">
        <v>364</v>
      </c>
      <c r="D103" s="762"/>
      <c r="E103" s="101"/>
      <c r="F103" s="28"/>
      <c r="G103" s="96"/>
      <c r="H103" s="28"/>
      <c r="I103" s="97"/>
      <c r="J103" s="98"/>
      <c r="K103" s="98"/>
      <c r="L103" s="98"/>
      <c r="M103" s="98"/>
      <c r="N103" s="98"/>
      <c r="O103" s="98"/>
      <c r="P103" s="98"/>
      <c r="Q103" s="98"/>
      <c r="R103" s="98"/>
      <c r="S103" s="98"/>
      <c r="T103" s="98"/>
      <c r="U103" s="98"/>
      <c r="V103" s="98"/>
      <c r="W103" s="98"/>
      <c r="X103" s="98"/>
      <c r="Y103" s="98"/>
      <c r="Z103" s="98"/>
    </row>
    <row r="104" spans="1:26" ht="15.75">
      <c r="A104" s="766">
        <v>23</v>
      </c>
      <c r="B104" s="769" t="s">
        <v>365</v>
      </c>
      <c r="C104" s="760" t="s">
        <v>67</v>
      </c>
      <c r="D104" s="762"/>
      <c r="E104" s="97"/>
      <c r="F104" s="107"/>
      <c r="G104" s="108"/>
      <c r="H104" s="107"/>
      <c r="I104" s="97"/>
      <c r="J104" s="98"/>
      <c r="K104" s="98"/>
      <c r="L104" s="98"/>
      <c r="M104" s="98"/>
      <c r="N104" s="98"/>
      <c r="O104" s="98"/>
      <c r="P104" s="98"/>
      <c r="Q104" s="98"/>
      <c r="R104" s="98"/>
      <c r="S104" s="98"/>
      <c r="T104" s="98"/>
      <c r="U104" s="98"/>
      <c r="V104" s="98"/>
      <c r="W104" s="98"/>
      <c r="X104" s="98"/>
      <c r="Y104" s="98"/>
      <c r="Z104" s="98"/>
    </row>
    <row r="105" spans="1:26" ht="15.75">
      <c r="A105" s="767"/>
      <c r="B105" s="767"/>
      <c r="C105" s="760" t="s">
        <v>366</v>
      </c>
      <c r="D105" s="762"/>
      <c r="E105" s="97"/>
      <c r="F105" s="107"/>
      <c r="G105" s="108"/>
      <c r="H105" s="107"/>
      <c r="I105" s="97"/>
      <c r="J105" s="98"/>
      <c r="K105" s="98"/>
      <c r="L105" s="98"/>
      <c r="M105" s="98"/>
      <c r="N105" s="98"/>
      <c r="O105" s="98"/>
      <c r="P105" s="98"/>
      <c r="Q105" s="98"/>
      <c r="R105" s="98"/>
      <c r="S105" s="98"/>
      <c r="T105" s="98"/>
      <c r="U105" s="98"/>
      <c r="V105" s="98"/>
      <c r="W105" s="98"/>
      <c r="X105" s="98"/>
      <c r="Y105" s="98"/>
      <c r="Z105" s="98"/>
    </row>
    <row r="106" spans="1:26" ht="15.75">
      <c r="A106" s="767"/>
      <c r="B106" s="767"/>
      <c r="C106" s="760" t="s">
        <v>69</v>
      </c>
      <c r="D106" s="762"/>
      <c r="E106" s="97"/>
      <c r="F106" s="107"/>
      <c r="G106" s="108"/>
      <c r="H106" s="107"/>
      <c r="I106" s="97"/>
      <c r="J106" s="98"/>
      <c r="K106" s="98"/>
      <c r="L106" s="98"/>
      <c r="M106" s="98"/>
      <c r="N106" s="98"/>
      <c r="O106" s="98"/>
      <c r="P106" s="98"/>
      <c r="Q106" s="98"/>
      <c r="R106" s="98"/>
      <c r="S106" s="98"/>
      <c r="T106" s="98"/>
      <c r="U106" s="98"/>
      <c r="V106" s="98"/>
      <c r="W106" s="98"/>
      <c r="X106" s="98"/>
      <c r="Y106" s="98"/>
      <c r="Z106" s="98"/>
    </row>
    <row r="107" spans="1:26" ht="15.75">
      <c r="A107" s="767"/>
      <c r="B107" s="767"/>
      <c r="C107" s="760" t="s">
        <v>367</v>
      </c>
      <c r="D107" s="762"/>
      <c r="E107" s="97"/>
      <c r="F107" s="107"/>
      <c r="G107" s="108"/>
      <c r="H107" s="107"/>
      <c r="I107" s="97"/>
      <c r="J107" s="98"/>
      <c r="K107" s="98"/>
      <c r="L107" s="98"/>
      <c r="M107" s="98"/>
      <c r="N107" s="98"/>
      <c r="O107" s="98"/>
      <c r="P107" s="98"/>
      <c r="Q107" s="98"/>
      <c r="R107" s="98"/>
      <c r="S107" s="98"/>
      <c r="T107" s="98"/>
      <c r="U107" s="98"/>
      <c r="V107" s="98"/>
      <c r="W107" s="98"/>
      <c r="X107" s="98"/>
      <c r="Y107" s="98"/>
      <c r="Z107" s="98"/>
    </row>
    <row r="108" spans="1:26" ht="15.75">
      <c r="A108" s="767"/>
      <c r="B108" s="767"/>
      <c r="C108" s="760" t="s">
        <v>368</v>
      </c>
      <c r="D108" s="762"/>
      <c r="E108" s="97"/>
      <c r="F108" s="107"/>
      <c r="G108" s="108"/>
      <c r="H108" s="107"/>
      <c r="I108" s="97"/>
      <c r="J108" s="98"/>
      <c r="K108" s="98"/>
      <c r="L108" s="98"/>
      <c r="M108" s="98"/>
      <c r="N108" s="98"/>
      <c r="O108" s="98"/>
      <c r="P108" s="98"/>
      <c r="Q108" s="98"/>
      <c r="R108" s="98"/>
      <c r="S108" s="98"/>
      <c r="T108" s="98"/>
      <c r="U108" s="98"/>
      <c r="V108" s="98"/>
      <c r="W108" s="98"/>
      <c r="X108" s="98"/>
      <c r="Y108" s="98"/>
      <c r="Z108" s="98"/>
    </row>
    <row r="109" spans="1:26" ht="15.75">
      <c r="A109" s="767"/>
      <c r="B109" s="767"/>
      <c r="C109" s="760" t="s">
        <v>369</v>
      </c>
      <c r="D109" s="762"/>
      <c r="E109" s="97"/>
      <c r="F109" s="107"/>
      <c r="G109" s="108"/>
      <c r="H109" s="107"/>
      <c r="I109" s="97"/>
      <c r="J109" s="98"/>
      <c r="K109" s="98"/>
      <c r="L109" s="98"/>
      <c r="M109" s="98"/>
      <c r="N109" s="98"/>
      <c r="O109" s="98"/>
      <c r="P109" s="98"/>
      <c r="Q109" s="98"/>
      <c r="R109" s="98"/>
      <c r="S109" s="98"/>
      <c r="T109" s="98"/>
      <c r="U109" s="98"/>
      <c r="V109" s="98"/>
      <c r="W109" s="98"/>
      <c r="X109" s="98"/>
      <c r="Y109" s="98"/>
      <c r="Z109" s="98"/>
    </row>
    <row r="110" spans="1:26" ht="15.75">
      <c r="A110" s="767"/>
      <c r="B110" s="767"/>
      <c r="C110" s="760" t="s">
        <v>370</v>
      </c>
      <c r="D110" s="762"/>
      <c r="E110" s="97"/>
      <c r="F110" s="107"/>
      <c r="G110" s="108"/>
      <c r="H110" s="107"/>
      <c r="I110" s="97"/>
      <c r="J110" s="98"/>
      <c r="K110" s="98"/>
      <c r="L110" s="98"/>
      <c r="M110" s="98"/>
      <c r="N110" s="98"/>
      <c r="O110" s="98"/>
      <c r="P110" s="98"/>
      <c r="Q110" s="98"/>
      <c r="R110" s="98"/>
      <c r="S110" s="98"/>
      <c r="T110" s="98"/>
      <c r="U110" s="98"/>
      <c r="V110" s="98"/>
      <c r="W110" s="98"/>
      <c r="X110" s="98"/>
      <c r="Y110" s="98"/>
      <c r="Z110" s="98"/>
    </row>
    <row r="111" spans="1:26" ht="15.75">
      <c r="A111" s="768"/>
      <c r="B111" s="768"/>
      <c r="C111" s="760" t="s">
        <v>329</v>
      </c>
      <c r="D111" s="762"/>
      <c r="E111" s="97"/>
      <c r="F111" s="107"/>
      <c r="G111" s="108"/>
      <c r="H111" s="107"/>
      <c r="I111" s="97"/>
      <c r="J111" s="98"/>
      <c r="K111" s="98"/>
      <c r="L111" s="98"/>
      <c r="M111" s="98"/>
      <c r="N111" s="98"/>
      <c r="O111" s="98"/>
      <c r="P111" s="98"/>
      <c r="Q111" s="98"/>
      <c r="R111" s="98"/>
      <c r="S111" s="98"/>
      <c r="T111" s="98"/>
      <c r="U111" s="98"/>
      <c r="V111" s="98"/>
      <c r="W111" s="98"/>
      <c r="X111" s="98"/>
      <c r="Y111" s="98"/>
      <c r="Z111" s="98"/>
    </row>
    <row r="112" spans="1:26" ht="15.75">
      <c r="A112" s="766">
        <v>24</v>
      </c>
      <c r="B112" s="769" t="s">
        <v>371</v>
      </c>
      <c r="C112" s="760" t="s">
        <v>75</v>
      </c>
      <c r="D112" s="762"/>
      <c r="E112" s="97"/>
      <c r="F112" s="107"/>
      <c r="G112" s="108"/>
      <c r="H112" s="107"/>
      <c r="I112" s="97"/>
      <c r="J112" s="98"/>
      <c r="K112" s="98"/>
      <c r="L112" s="98"/>
      <c r="M112" s="98"/>
      <c r="N112" s="98"/>
      <c r="O112" s="98"/>
      <c r="P112" s="98"/>
      <c r="Q112" s="98"/>
      <c r="R112" s="98"/>
      <c r="S112" s="98"/>
      <c r="T112" s="98"/>
      <c r="U112" s="98"/>
      <c r="V112" s="98"/>
      <c r="W112" s="98"/>
      <c r="X112" s="98"/>
      <c r="Y112" s="98"/>
      <c r="Z112" s="98"/>
    </row>
    <row r="113" spans="1:26" ht="15.75">
      <c r="A113" s="767"/>
      <c r="B113" s="767"/>
      <c r="C113" s="760" t="s">
        <v>76</v>
      </c>
      <c r="D113" s="762"/>
      <c r="E113" s="97"/>
      <c r="F113" s="107"/>
      <c r="G113" s="108"/>
      <c r="H113" s="107"/>
      <c r="I113" s="97"/>
      <c r="J113" s="98"/>
      <c r="K113" s="98"/>
      <c r="L113" s="98"/>
      <c r="M113" s="98"/>
      <c r="N113" s="98"/>
      <c r="O113" s="98"/>
      <c r="P113" s="98"/>
      <c r="Q113" s="98"/>
      <c r="R113" s="98"/>
      <c r="S113" s="98"/>
      <c r="T113" s="98"/>
      <c r="U113" s="98"/>
      <c r="V113" s="98"/>
      <c r="W113" s="98"/>
      <c r="X113" s="98"/>
      <c r="Y113" s="98"/>
      <c r="Z113" s="98"/>
    </row>
    <row r="114" spans="1:26" ht="15.75">
      <c r="A114" s="768"/>
      <c r="B114" s="768"/>
      <c r="C114" s="760" t="s">
        <v>77</v>
      </c>
      <c r="D114" s="762"/>
      <c r="E114" s="97"/>
      <c r="F114" s="107"/>
      <c r="G114" s="108"/>
      <c r="H114" s="107"/>
      <c r="I114" s="97"/>
      <c r="J114" s="98"/>
      <c r="K114" s="98"/>
      <c r="L114" s="98"/>
      <c r="M114" s="98"/>
      <c r="N114" s="98"/>
      <c r="O114" s="98"/>
      <c r="P114" s="98"/>
      <c r="Q114" s="98"/>
      <c r="R114" s="98"/>
      <c r="S114" s="98"/>
      <c r="T114" s="98"/>
      <c r="U114" s="98"/>
      <c r="V114" s="98"/>
      <c r="W114" s="98"/>
      <c r="X114" s="98"/>
      <c r="Y114" s="98"/>
      <c r="Z114" s="98"/>
    </row>
    <row r="115" spans="1:26" ht="15.75">
      <c r="A115" s="97">
        <v>25</v>
      </c>
      <c r="B115" s="760" t="s">
        <v>42</v>
      </c>
      <c r="C115" s="761"/>
      <c r="D115" s="762"/>
      <c r="E115" s="97"/>
      <c r="F115" s="107"/>
      <c r="G115" s="108"/>
      <c r="H115" s="107"/>
      <c r="I115" s="97"/>
      <c r="J115" s="98"/>
      <c r="K115" s="98"/>
      <c r="L115" s="98"/>
      <c r="M115" s="98"/>
      <c r="N115" s="98"/>
      <c r="O115" s="98"/>
      <c r="P115" s="98"/>
      <c r="Q115" s="98"/>
      <c r="R115" s="98"/>
      <c r="S115" s="98"/>
      <c r="T115" s="98"/>
      <c r="U115" s="98"/>
      <c r="V115" s="98"/>
      <c r="W115" s="98"/>
      <c r="X115" s="98"/>
      <c r="Y115" s="98"/>
      <c r="Z115" s="98"/>
    </row>
    <row r="116" spans="1:26" ht="15.75">
      <c r="A116" s="766">
        <v>26</v>
      </c>
      <c r="B116" s="769" t="s">
        <v>372</v>
      </c>
      <c r="C116" s="760" t="s">
        <v>373</v>
      </c>
      <c r="D116" s="762"/>
      <c r="E116" s="97"/>
      <c r="F116" s="107"/>
      <c r="G116" s="108"/>
      <c r="H116" s="107"/>
      <c r="I116" s="97"/>
      <c r="J116" s="98"/>
      <c r="K116" s="98"/>
      <c r="L116" s="98"/>
      <c r="M116" s="98"/>
      <c r="N116" s="98"/>
      <c r="O116" s="98"/>
      <c r="P116" s="98"/>
      <c r="Q116" s="98"/>
      <c r="R116" s="98"/>
      <c r="S116" s="98"/>
      <c r="T116" s="98"/>
      <c r="U116" s="98"/>
      <c r="V116" s="98"/>
      <c r="W116" s="98"/>
      <c r="X116" s="98"/>
      <c r="Y116" s="98"/>
      <c r="Z116" s="98"/>
    </row>
    <row r="117" spans="1:26" ht="15.75">
      <c r="A117" s="767"/>
      <c r="B117" s="767"/>
      <c r="C117" s="760" t="s">
        <v>374</v>
      </c>
      <c r="D117" s="762"/>
      <c r="E117" s="97"/>
      <c r="F117" s="107"/>
      <c r="G117" s="108"/>
      <c r="H117" s="107"/>
      <c r="I117" s="97"/>
      <c r="J117" s="98"/>
      <c r="K117" s="98"/>
      <c r="L117" s="98"/>
      <c r="M117" s="98"/>
      <c r="N117" s="98"/>
      <c r="O117" s="98"/>
      <c r="P117" s="98"/>
      <c r="Q117" s="98"/>
      <c r="R117" s="98"/>
      <c r="S117" s="98"/>
      <c r="T117" s="98"/>
      <c r="U117" s="98"/>
      <c r="V117" s="98"/>
      <c r="W117" s="98"/>
      <c r="X117" s="98"/>
      <c r="Y117" s="98"/>
      <c r="Z117" s="98"/>
    </row>
    <row r="118" spans="1:26" ht="15.75">
      <c r="A118" s="767"/>
      <c r="B118" s="767"/>
      <c r="C118" s="760" t="s">
        <v>375</v>
      </c>
      <c r="D118" s="762"/>
      <c r="E118" s="97"/>
      <c r="F118" s="107"/>
      <c r="G118" s="108"/>
      <c r="H118" s="107"/>
      <c r="I118" s="97"/>
      <c r="J118" s="98"/>
      <c r="K118" s="98"/>
      <c r="L118" s="98"/>
      <c r="M118" s="98"/>
      <c r="N118" s="98"/>
      <c r="O118" s="98"/>
      <c r="P118" s="98"/>
      <c r="Q118" s="98"/>
      <c r="R118" s="98"/>
      <c r="S118" s="98"/>
      <c r="T118" s="98"/>
      <c r="U118" s="98"/>
      <c r="V118" s="98"/>
      <c r="W118" s="98"/>
      <c r="X118" s="98"/>
      <c r="Y118" s="98"/>
      <c r="Z118" s="98"/>
    </row>
    <row r="119" spans="1:26" ht="15.75">
      <c r="A119" s="767"/>
      <c r="B119" s="767"/>
      <c r="C119" s="760" t="s">
        <v>376</v>
      </c>
      <c r="D119" s="762"/>
      <c r="E119" s="97"/>
      <c r="F119" s="107"/>
      <c r="G119" s="108"/>
      <c r="H119" s="107"/>
      <c r="I119" s="97"/>
      <c r="J119" s="98"/>
      <c r="K119" s="98"/>
      <c r="L119" s="98"/>
      <c r="M119" s="98"/>
      <c r="N119" s="98"/>
      <c r="O119" s="98"/>
      <c r="P119" s="98"/>
      <c r="Q119" s="98"/>
      <c r="R119" s="98"/>
      <c r="S119" s="98"/>
      <c r="T119" s="98"/>
      <c r="U119" s="98"/>
      <c r="V119" s="98"/>
      <c r="W119" s="98"/>
      <c r="X119" s="98"/>
      <c r="Y119" s="98"/>
      <c r="Z119" s="98"/>
    </row>
    <row r="120" spans="1:26" ht="15.75">
      <c r="A120" s="767"/>
      <c r="B120" s="767"/>
      <c r="C120" s="760" t="s">
        <v>69</v>
      </c>
      <c r="D120" s="762"/>
      <c r="E120" s="97"/>
      <c r="F120" s="107"/>
      <c r="G120" s="108"/>
      <c r="H120" s="107"/>
      <c r="I120" s="97"/>
      <c r="J120" s="98"/>
      <c r="K120" s="98"/>
      <c r="L120" s="98"/>
      <c r="M120" s="98"/>
      <c r="N120" s="98"/>
      <c r="O120" s="98"/>
      <c r="P120" s="98"/>
      <c r="Q120" s="98"/>
      <c r="R120" s="98"/>
      <c r="S120" s="98"/>
      <c r="T120" s="98"/>
      <c r="U120" s="98"/>
      <c r="V120" s="98"/>
      <c r="W120" s="98"/>
      <c r="X120" s="98"/>
      <c r="Y120" s="98"/>
      <c r="Z120" s="98"/>
    </row>
    <row r="121" spans="1:26" ht="15.75">
      <c r="A121" s="767"/>
      <c r="B121" s="767"/>
      <c r="C121" s="760" t="s">
        <v>367</v>
      </c>
      <c r="D121" s="762"/>
      <c r="E121" s="97"/>
      <c r="F121" s="107"/>
      <c r="G121" s="108"/>
      <c r="H121" s="107"/>
      <c r="I121" s="97"/>
      <c r="J121" s="98"/>
      <c r="K121" s="98"/>
      <c r="L121" s="98"/>
      <c r="M121" s="98"/>
      <c r="N121" s="98"/>
      <c r="O121" s="98"/>
      <c r="P121" s="98"/>
      <c r="Q121" s="98"/>
      <c r="R121" s="98"/>
      <c r="S121" s="98"/>
      <c r="T121" s="98"/>
      <c r="U121" s="98"/>
      <c r="V121" s="98"/>
      <c r="W121" s="98"/>
      <c r="X121" s="98"/>
      <c r="Y121" s="98"/>
      <c r="Z121" s="98"/>
    </row>
    <row r="122" spans="1:26" ht="15.75">
      <c r="A122" s="767"/>
      <c r="B122" s="767"/>
      <c r="C122" s="760" t="s">
        <v>377</v>
      </c>
      <c r="D122" s="762"/>
      <c r="E122" s="97"/>
      <c r="F122" s="107"/>
      <c r="G122" s="108"/>
      <c r="H122" s="107"/>
      <c r="I122" s="97"/>
      <c r="J122" s="98"/>
      <c r="K122" s="98"/>
      <c r="L122" s="98"/>
      <c r="M122" s="98"/>
      <c r="N122" s="98"/>
      <c r="O122" s="98"/>
      <c r="P122" s="98"/>
      <c r="Q122" s="98"/>
      <c r="R122" s="98"/>
      <c r="S122" s="98"/>
      <c r="T122" s="98"/>
      <c r="U122" s="98"/>
      <c r="V122" s="98"/>
      <c r="W122" s="98"/>
      <c r="X122" s="98"/>
      <c r="Y122" s="98"/>
      <c r="Z122" s="98"/>
    </row>
    <row r="123" spans="1:26" ht="15.75">
      <c r="A123" s="767"/>
      <c r="B123" s="767"/>
      <c r="C123" s="760" t="s">
        <v>378</v>
      </c>
      <c r="D123" s="762"/>
      <c r="E123" s="97"/>
      <c r="F123" s="107"/>
      <c r="G123" s="108"/>
      <c r="H123" s="107"/>
      <c r="I123" s="97"/>
      <c r="J123" s="98"/>
      <c r="K123" s="98"/>
      <c r="L123" s="98"/>
      <c r="M123" s="98"/>
      <c r="N123" s="98"/>
      <c r="O123" s="98"/>
      <c r="P123" s="98"/>
      <c r="Q123" s="98"/>
      <c r="R123" s="98"/>
      <c r="S123" s="98"/>
      <c r="T123" s="98"/>
      <c r="U123" s="98"/>
      <c r="V123" s="98"/>
      <c r="W123" s="98"/>
      <c r="X123" s="98"/>
      <c r="Y123" s="98"/>
      <c r="Z123" s="98"/>
    </row>
    <row r="124" spans="1:26" ht="15.75">
      <c r="A124" s="767"/>
      <c r="B124" s="767"/>
      <c r="C124" s="760" t="s">
        <v>379</v>
      </c>
      <c r="D124" s="762"/>
      <c r="E124" s="97"/>
      <c r="F124" s="107"/>
      <c r="G124" s="108"/>
      <c r="H124" s="107"/>
      <c r="I124" s="97"/>
      <c r="J124" s="98"/>
      <c r="K124" s="98"/>
      <c r="L124" s="98"/>
      <c r="M124" s="98"/>
      <c r="N124" s="98"/>
      <c r="O124" s="98"/>
      <c r="P124" s="98"/>
      <c r="Q124" s="98"/>
      <c r="R124" s="98"/>
      <c r="S124" s="98"/>
      <c r="T124" s="98"/>
      <c r="U124" s="98"/>
      <c r="V124" s="98"/>
      <c r="W124" s="98"/>
      <c r="X124" s="98"/>
      <c r="Y124" s="98"/>
      <c r="Z124" s="98"/>
    </row>
    <row r="125" spans="1:26" ht="15.75">
      <c r="A125" s="767"/>
      <c r="B125" s="767"/>
      <c r="C125" s="760" t="s">
        <v>380</v>
      </c>
      <c r="D125" s="762"/>
      <c r="E125" s="97"/>
      <c r="F125" s="107"/>
      <c r="G125" s="108"/>
      <c r="H125" s="107"/>
      <c r="I125" s="97"/>
      <c r="J125" s="98"/>
      <c r="K125" s="98"/>
      <c r="L125" s="98"/>
      <c r="M125" s="98"/>
      <c r="N125" s="98"/>
      <c r="O125" s="98"/>
      <c r="P125" s="98"/>
      <c r="Q125" s="98"/>
      <c r="R125" s="98"/>
      <c r="S125" s="98"/>
      <c r="T125" s="98"/>
      <c r="U125" s="98"/>
      <c r="V125" s="98"/>
      <c r="W125" s="98"/>
      <c r="X125" s="98"/>
      <c r="Y125" s="98"/>
      <c r="Z125" s="98"/>
    </row>
    <row r="126" spans="1:26" ht="15.75">
      <c r="A126" s="767"/>
      <c r="B126" s="767"/>
      <c r="C126" s="760" t="s">
        <v>87</v>
      </c>
      <c r="D126" s="762"/>
      <c r="E126" s="97"/>
      <c r="F126" s="107"/>
      <c r="G126" s="108"/>
      <c r="H126" s="107"/>
      <c r="I126" s="97"/>
      <c r="J126" s="98"/>
      <c r="K126" s="98"/>
      <c r="L126" s="98"/>
      <c r="M126" s="98"/>
      <c r="N126" s="98"/>
      <c r="O126" s="98"/>
      <c r="P126" s="98"/>
      <c r="Q126" s="98"/>
      <c r="R126" s="98"/>
      <c r="S126" s="98"/>
      <c r="T126" s="98"/>
      <c r="U126" s="98"/>
      <c r="V126" s="98"/>
      <c r="W126" s="98"/>
      <c r="X126" s="98"/>
      <c r="Y126" s="98"/>
      <c r="Z126" s="98"/>
    </row>
    <row r="127" spans="1:26" ht="15.75">
      <c r="A127" s="768"/>
      <c r="B127" s="768"/>
      <c r="C127" s="760" t="s">
        <v>381</v>
      </c>
      <c r="D127" s="762"/>
      <c r="E127" s="97"/>
      <c r="F127" s="107"/>
      <c r="G127" s="108"/>
      <c r="H127" s="107"/>
      <c r="I127" s="97"/>
      <c r="J127" s="98"/>
      <c r="K127" s="98"/>
      <c r="L127" s="98"/>
      <c r="M127" s="98"/>
      <c r="N127" s="98"/>
      <c r="O127" s="98"/>
      <c r="P127" s="98"/>
      <c r="Q127" s="98"/>
      <c r="R127" s="98"/>
      <c r="S127" s="98"/>
      <c r="T127" s="98"/>
      <c r="U127" s="98"/>
      <c r="V127" s="98"/>
      <c r="W127" s="98"/>
      <c r="X127" s="98"/>
      <c r="Y127" s="98"/>
      <c r="Z127" s="98"/>
    </row>
    <row r="128" spans="1:26" ht="15.75">
      <c r="A128" s="97">
        <v>27</v>
      </c>
      <c r="B128" s="760" t="s">
        <v>89</v>
      </c>
      <c r="C128" s="761"/>
      <c r="D128" s="762"/>
      <c r="E128" s="97"/>
      <c r="F128" s="107"/>
      <c r="G128" s="108"/>
      <c r="H128" s="107"/>
      <c r="I128" s="97"/>
      <c r="J128" s="98"/>
      <c r="K128" s="98"/>
      <c r="L128" s="98"/>
      <c r="M128" s="98"/>
      <c r="N128" s="98"/>
      <c r="O128" s="98"/>
      <c r="P128" s="98"/>
      <c r="Q128" s="98"/>
      <c r="R128" s="98"/>
      <c r="S128" s="98"/>
      <c r="T128" s="98"/>
      <c r="U128" s="98"/>
      <c r="V128" s="98"/>
      <c r="W128" s="98"/>
      <c r="X128" s="98"/>
      <c r="Y128" s="98"/>
      <c r="Z128" s="98"/>
    </row>
    <row r="131" spans="1:26" ht="63">
      <c r="A131" s="97">
        <v>30</v>
      </c>
      <c r="B131" s="760" t="s">
        <v>44</v>
      </c>
      <c r="C131" s="761"/>
      <c r="D131" s="762"/>
      <c r="E131" s="95" t="s">
        <v>386</v>
      </c>
      <c r="F131" s="112">
        <v>1</v>
      </c>
      <c r="G131" s="108" t="s">
        <v>387</v>
      </c>
      <c r="H131" s="112">
        <v>25000</v>
      </c>
      <c r="I131" s="95" t="s">
        <v>388</v>
      </c>
      <c r="J131" s="98"/>
      <c r="K131" s="98"/>
      <c r="L131" s="98"/>
      <c r="M131" s="98"/>
      <c r="N131" s="98"/>
      <c r="O131" s="98"/>
      <c r="P131" s="98"/>
      <c r="Q131" s="98"/>
      <c r="R131" s="98"/>
      <c r="S131" s="98"/>
      <c r="T131" s="98"/>
      <c r="U131" s="98"/>
      <c r="V131" s="98"/>
      <c r="W131" s="98"/>
      <c r="X131" s="98"/>
      <c r="Y131" s="98"/>
      <c r="Z131" s="98"/>
    </row>
    <row r="132" spans="1:26" ht="15.75">
      <c r="A132" s="97">
        <v>31</v>
      </c>
      <c r="B132" s="760" t="s">
        <v>45</v>
      </c>
      <c r="C132" s="761"/>
      <c r="D132" s="762"/>
      <c r="E132" s="97"/>
      <c r="F132" s="107"/>
      <c r="G132" s="108"/>
      <c r="H132" s="107"/>
      <c r="I132" s="97"/>
      <c r="J132" s="98"/>
      <c r="K132" s="98"/>
      <c r="L132" s="98"/>
      <c r="M132" s="98"/>
      <c r="N132" s="98"/>
      <c r="O132" s="98"/>
      <c r="P132" s="98"/>
      <c r="Q132" s="98"/>
      <c r="R132" s="98"/>
      <c r="S132" s="98"/>
      <c r="T132" s="98"/>
      <c r="U132" s="98"/>
      <c r="V132" s="98"/>
      <c r="W132" s="98"/>
      <c r="X132" s="98"/>
      <c r="Y132" s="98"/>
      <c r="Z132" s="98"/>
    </row>
    <row r="133" spans="1:26" ht="15.75">
      <c r="A133" s="113"/>
      <c r="B133" s="770" t="s">
        <v>389</v>
      </c>
      <c r="C133" s="761"/>
      <c r="D133" s="762"/>
      <c r="E133" s="113"/>
      <c r="F133" s="114"/>
      <c r="G133" s="115">
        <f t="shared" ref="G133:H133" si="0">SUM(G2:G132)</f>
        <v>3880000</v>
      </c>
      <c r="H133" s="114">
        <f t="shared" si="0"/>
        <v>9845000</v>
      </c>
      <c r="I133" s="116"/>
    </row>
    <row r="134" spans="1:26">
      <c r="A134" s="763" t="s">
        <v>91</v>
      </c>
      <c r="B134" s="764"/>
      <c r="C134" s="764"/>
      <c r="D134" s="764"/>
      <c r="E134" s="764"/>
      <c r="F134" s="764"/>
      <c r="G134" s="764"/>
      <c r="H134" s="764"/>
      <c r="I134" s="765"/>
      <c r="J134" s="117"/>
      <c r="K134" s="117"/>
      <c r="L134" s="117"/>
      <c r="M134" s="117"/>
      <c r="N134" s="117"/>
      <c r="O134" s="117"/>
      <c r="P134" s="117"/>
      <c r="Q134" s="117"/>
      <c r="R134" s="117"/>
      <c r="S134" s="117"/>
      <c r="T134" s="117"/>
      <c r="U134" s="117"/>
      <c r="V134" s="117"/>
      <c r="W134" s="117"/>
      <c r="X134" s="117"/>
      <c r="Y134" s="117"/>
      <c r="Z134" s="117"/>
    </row>
    <row r="135" spans="1:26" ht="15.75">
      <c r="A135" s="26"/>
      <c r="D135" s="118"/>
      <c r="F135" s="283"/>
      <c r="G135" s="284"/>
      <c r="H135" s="169"/>
      <c r="I135" s="285"/>
    </row>
    <row r="136" spans="1:26" ht="78.75">
      <c r="A136" s="97">
        <v>28</v>
      </c>
      <c r="B136" s="754" t="s">
        <v>43</v>
      </c>
      <c r="C136" s="755"/>
      <c r="D136" s="756"/>
      <c r="E136" s="109" t="s">
        <v>382</v>
      </c>
      <c r="F136" s="110">
        <v>1</v>
      </c>
      <c r="G136" s="111">
        <v>5000000</v>
      </c>
      <c r="H136" s="111">
        <v>5000000</v>
      </c>
      <c r="I136" s="95" t="s">
        <v>383</v>
      </c>
      <c r="J136" s="98"/>
      <c r="K136" s="98"/>
      <c r="L136" s="98"/>
      <c r="M136" s="98"/>
      <c r="N136" s="98"/>
      <c r="O136" s="98"/>
      <c r="P136" s="98"/>
      <c r="Q136" s="98"/>
      <c r="R136" s="98"/>
      <c r="S136" s="98"/>
      <c r="T136" s="98"/>
      <c r="U136" s="98"/>
      <c r="V136" s="98"/>
      <c r="W136" s="98"/>
      <c r="X136" s="98"/>
      <c r="Y136" s="98"/>
      <c r="Z136" s="98"/>
    </row>
    <row r="137" spans="1:26" ht="78.75">
      <c r="A137" s="97">
        <v>29</v>
      </c>
      <c r="B137" s="757"/>
      <c r="C137" s="758"/>
      <c r="D137" s="759"/>
      <c r="E137" s="109" t="s">
        <v>384</v>
      </c>
      <c r="F137" s="110">
        <v>1</v>
      </c>
      <c r="G137" s="111">
        <v>800000</v>
      </c>
      <c r="H137" s="110">
        <v>800000</v>
      </c>
      <c r="I137" s="95" t="s">
        <v>385</v>
      </c>
      <c r="J137" s="98"/>
      <c r="K137" s="98"/>
      <c r="L137" s="98"/>
      <c r="M137" s="98"/>
      <c r="N137" s="98"/>
      <c r="O137" s="98"/>
      <c r="P137" s="98"/>
      <c r="Q137" s="98"/>
      <c r="R137" s="98"/>
      <c r="S137" s="98"/>
      <c r="T137" s="98"/>
      <c r="U137" s="98"/>
      <c r="V137" s="98"/>
      <c r="W137" s="98"/>
      <c r="X137" s="98"/>
      <c r="Y137" s="98"/>
      <c r="Z137" s="98"/>
    </row>
    <row r="138" spans="1:26" ht="15.75">
      <c r="A138" s="26"/>
      <c r="D138" s="118"/>
      <c r="F138" s="283"/>
      <c r="G138" s="284"/>
      <c r="H138" s="169"/>
      <c r="I138" s="285"/>
    </row>
    <row r="139" spans="1:26" ht="15.75">
      <c r="A139" s="26"/>
      <c r="D139" s="118"/>
      <c r="F139" s="283"/>
      <c r="G139" s="284"/>
      <c r="H139" s="169"/>
      <c r="I139" s="285"/>
    </row>
    <row r="140" spans="1:26" ht="15.75">
      <c r="A140" s="26"/>
      <c r="D140" s="118"/>
      <c r="F140" s="283"/>
      <c r="G140" s="284"/>
      <c r="H140" s="169"/>
      <c r="I140" s="285"/>
    </row>
    <row r="141" spans="1:26" ht="15.75">
      <c r="A141" s="26"/>
      <c r="D141" s="118"/>
      <c r="F141" s="283"/>
      <c r="G141" s="284"/>
      <c r="H141" s="169"/>
      <c r="I141" s="285"/>
    </row>
    <row r="142" spans="1:26" ht="15.75">
      <c r="A142" s="26"/>
      <c r="D142" s="118"/>
      <c r="F142" s="283"/>
      <c r="G142" s="284"/>
      <c r="H142" s="169"/>
      <c r="I142" s="285"/>
    </row>
    <row r="143" spans="1:26" ht="15.75">
      <c r="A143" s="26"/>
      <c r="D143" s="118"/>
      <c r="F143" s="283"/>
      <c r="G143" s="284"/>
      <c r="H143" s="169"/>
      <c r="I143" s="285"/>
    </row>
    <row r="144" spans="1:26" ht="15.75">
      <c r="A144" s="26"/>
      <c r="D144" s="118"/>
      <c r="F144" s="283"/>
      <c r="G144" s="284"/>
      <c r="H144" s="169"/>
      <c r="I144" s="285"/>
    </row>
    <row r="145" spans="1:9" ht="15.75">
      <c r="A145" s="26"/>
      <c r="D145" s="118"/>
      <c r="F145" s="283"/>
      <c r="G145" s="284"/>
      <c r="H145" s="169"/>
      <c r="I145" s="285"/>
    </row>
    <row r="146" spans="1:9" ht="15.75">
      <c r="A146" s="26"/>
      <c r="D146" s="118"/>
      <c r="F146" s="283"/>
      <c r="G146" s="284"/>
      <c r="H146" s="169"/>
      <c r="I146" s="285"/>
    </row>
    <row r="147" spans="1:9" ht="15.75">
      <c r="A147" s="26"/>
      <c r="D147" s="118"/>
      <c r="F147" s="283"/>
      <c r="G147" s="284"/>
      <c r="H147" s="169"/>
      <c r="I147" s="285"/>
    </row>
    <row r="148" spans="1:9" ht="15.75">
      <c r="A148" s="26"/>
      <c r="D148" s="118"/>
      <c r="F148" s="283"/>
      <c r="G148" s="284"/>
      <c r="H148" s="169"/>
      <c r="I148" s="285"/>
    </row>
    <row r="149" spans="1:9" ht="15.75">
      <c r="A149" s="26"/>
      <c r="D149" s="118"/>
      <c r="F149" s="283"/>
      <c r="G149" s="284"/>
      <c r="H149" s="169"/>
      <c r="I149" s="285"/>
    </row>
    <row r="150" spans="1:9" ht="15.75">
      <c r="A150" s="26"/>
      <c r="D150" s="118"/>
      <c r="F150" s="283"/>
      <c r="G150" s="284"/>
      <c r="H150" s="169"/>
      <c r="I150" s="285"/>
    </row>
    <row r="151" spans="1:9" ht="15.75">
      <c r="A151" s="26"/>
      <c r="D151" s="118"/>
      <c r="F151" s="283"/>
      <c r="G151" s="284"/>
      <c r="H151" s="169"/>
      <c r="I151" s="285"/>
    </row>
    <row r="152" spans="1:9" ht="15.75">
      <c r="A152" s="26"/>
      <c r="D152" s="118"/>
      <c r="F152" s="283"/>
      <c r="G152" s="284"/>
      <c r="H152" s="169"/>
      <c r="I152" s="285"/>
    </row>
    <row r="153" spans="1:9" ht="15.75">
      <c r="A153" s="26"/>
      <c r="D153" s="118"/>
      <c r="F153" s="283"/>
      <c r="G153" s="284"/>
      <c r="H153" s="169"/>
      <c r="I153" s="285"/>
    </row>
    <row r="154" spans="1:9" ht="15.75">
      <c r="A154" s="26"/>
      <c r="D154" s="118"/>
      <c r="F154" s="283"/>
      <c r="G154" s="284"/>
      <c r="H154" s="169"/>
      <c r="I154" s="285"/>
    </row>
    <row r="155" spans="1:9" ht="15.75">
      <c r="A155" s="26"/>
      <c r="D155" s="118"/>
      <c r="F155" s="283"/>
      <c r="G155" s="284"/>
      <c r="H155" s="169"/>
      <c r="I155" s="285"/>
    </row>
    <row r="156" spans="1:9" ht="15.75">
      <c r="A156" s="26"/>
      <c r="D156" s="118"/>
      <c r="F156" s="283"/>
      <c r="G156" s="284"/>
      <c r="H156" s="169"/>
      <c r="I156" s="285"/>
    </row>
    <row r="157" spans="1:9" ht="15.75">
      <c r="A157" s="26"/>
      <c r="D157" s="118"/>
      <c r="F157" s="283"/>
      <c r="G157" s="284"/>
      <c r="H157" s="169"/>
      <c r="I157" s="285"/>
    </row>
    <row r="158" spans="1:9" ht="15.75">
      <c r="A158" s="26"/>
      <c r="D158" s="118"/>
      <c r="F158" s="283"/>
      <c r="G158" s="284"/>
      <c r="H158" s="169"/>
      <c r="I158" s="285"/>
    </row>
    <row r="159" spans="1:9" ht="15.75">
      <c r="A159" s="26"/>
      <c r="D159" s="118"/>
      <c r="F159" s="283"/>
      <c r="G159" s="284"/>
      <c r="H159" s="169"/>
      <c r="I159" s="285"/>
    </row>
    <row r="160" spans="1:9" ht="15.75">
      <c r="A160" s="26"/>
      <c r="D160" s="118"/>
      <c r="F160" s="283"/>
      <c r="G160" s="284"/>
      <c r="H160" s="169"/>
      <c r="I160" s="285"/>
    </row>
    <row r="161" spans="1:9" ht="15.75">
      <c r="A161" s="26"/>
      <c r="D161" s="118"/>
      <c r="F161" s="283"/>
      <c r="G161" s="284"/>
      <c r="H161" s="169"/>
      <c r="I161" s="285"/>
    </row>
    <row r="162" spans="1:9" ht="15.75">
      <c r="A162" s="26"/>
      <c r="D162" s="118"/>
      <c r="F162" s="283"/>
      <c r="G162" s="284"/>
      <c r="H162" s="169"/>
      <c r="I162" s="285"/>
    </row>
    <row r="163" spans="1:9" ht="15.75">
      <c r="A163" s="26"/>
      <c r="D163" s="118"/>
      <c r="F163" s="283"/>
      <c r="G163" s="284"/>
      <c r="H163" s="169"/>
      <c r="I163" s="285"/>
    </row>
    <row r="164" spans="1:9" ht="15.75">
      <c r="A164" s="26"/>
      <c r="D164" s="118"/>
      <c r="F164" s="283"/>
      <c r="G164" s="284"/>
      <c r="H164" s="169"/>
      <c r="I164" s="285"/>
    </row>
    <row r="165" spans="1:9" ht="15.75">
      <c r="A165" s="26"/>
      <c r="D165" s="118"/>
      <c r="F165" s="283"/>
      <c r="G165" s="284"/>
      <c r="H165" s="169"/>
      <c r="I165" s="285"/>
    </row>
    <row r="166" spans="1:9" ht="15.75">
      <c r="A166" s="26"/>
      <c r="D166" s="118"/>
      <c r="F166" s="283"/>
      <c r="G166" s="284"/>
      <c r="H166" s="169"/>
      <c r="I166" s="285"/>
    </row>
    <row r="167" spans="1:9" ht="15.75">
      <c r="A167" s="26"/>
      <c r="D167" s="118"/>
      <c r="F167" s="283"/>
      <c r="G167" s="284"/>
      <c r="H167" s="169"/>
      <c r="I167" s="285"/>
    </row>
    <row r="168" spans="1:9" ht="15.75">
      <c r="A168" s="26"/>
      <c r="D168" s="118"/>
      <c r="F168" s="283"/>
      <c r="G168" s="284"/>
      <c r="H168" s="169"/>
      <c r="I168" s="285"/>
    </row>
    <row r="169" spans="1:9" ht="15.75">
      <c r="A169" s="26"/>
      <c r="D169" s="118"/>
      <c r="F169" s="283"/>
      <c r="G169" s="284"/>
      <c r="H169" s="169"/>
      <c r="I169" s="285"/>
    </row>
    <row r="170" spans="1:9" ht="15.75">
      <c r="A170" s="26"/>
      <c r="D170" s="118"/>
      <c r="F170" s="283"/>
      <c r="G170" s="284"/>
      <c r="H170" s="169"/>
      <c r="I170" s="285"/>
    </row>
    <row r="171" spans="1:9" ht="15.75">
      <c r="A171" s="26"/>
      <c r="D171" s="118"/>
      <c r="F171" s="283"/>
      <c r="G171" s="284"/>
      <c r="H171" s="169"/>
      <c r="I171" s="285"/>
    </row>
    <row r="172" spans="1:9" ht="15.75">
      <c r="A172" s="26"/>
      <c r="D172" s="118"/>
      <c r="F172" s="283"/>
      <c r="G172" s="284"/>
      <c r="H172" s="169"/>
      <c r="I172" s="285"/>
    </row>
    <row r="173" spans="1:9" ht="15.75">
      <c r="A173" s="26"/>
      <c r="D173" s="118"/>
      <c r="F173" s="283"/>
      <c r="G173" s="284"/>
      <c r="H173" s="169"/>
      <c r="I173" s="285"/>
    </row>
    <row r="174" spans="1:9" ht="15.75">
      <c r="A174" s="26"/>
      <c r="D174" s="118"/>
      <c r="F174" s="283"/>
      <c r="G174" s="284"/>
      <c r="H174" s="169"/>
      <c r="I174" s="285"/>
    </row>
    <row r="175" spans="1:9" ht="15.75">
      <c r="A175" s="26"/>
      <c r="D175" s="118"/>
      <c r="F175" s="283"/>
      <c r="G175" s="284"/>
      <c r="H175" s="169"/>
      <c r="I175" s="285"/>
    </row>
    <row r="176" spans="1:9" ht="15.75">
      <c r="A176" s="26"/>
      <c r="D176" s="118"/>
      <c r="F176" s="283"/>
      <c r="G176" s="284"/>
      <c r="H176" s="169"/>
      <c r="I176" s="285"/>
    </row>
    <row r="177" spans="1:9" ht="15.75">
      <c r="A177" s="26"/>
      <c r="D177" s="118"/>
      <c r="F177" s="283"/>
      <c r="G177" s="284"/>
      <c r="H177" s="169"/>
      <c r="I177" s="285"/>
    </row>
    <row r="178" spans="1:9" ht="15.75">
      <c r="A178" s="26"/>
      <c r="D178" s="118"/>
      <c r="F178" s="283"/>
      <c r="G178" s="284"/>
      <c r="H178" s="169"/>
      <c r="I178" s="285"/>
    </row>
    <row r="179" spans="1:9" ht="15.75">
      <c r="A179" s="26"/>
      <c r="D179" s="118"/>
      <c r="F179" s="283"/>
      <c r="G179" s="284"/>
      <c r="H179" s="169"/>
      <c r="I179" s="285"/>
    </row>
    <row r="180" spans="1:9" ht="15.75">
      <c r="A180" s="26"/>
      <c r="D180" s="118"/>
      <c r="F180" s="283"/>
      <c r="G180" s="284"/>
      <c r="H180" s="169"/>
      <c r="I180" s="285"/>
    </row>
    <row r="181" spans="1:9" ht="15.75">
      <c r="A181" s="26"/>
      <c r="D181" s="118"/>
      <c r="F181" s="283"/>
      <c r="G181" s="284"/>
      <c r="H181" s="169"/>
      <c r="I181" s="285"/>
    </row>
    <row r="182" spans="1:9" ht="15.75">
      <c r="A182" s="26"/>
      <c r="D182" s="118"/>
      <c r="F182" s="283"/>
      <c r="G182" s="284"/>
      <c r="H182" s="169"/>
      <c r="I182" s="285"/>
    </row>
    <row r="183" spans="1:9" ht="15.75">
      <c r="A183" s="26"/>
      <c r="D183" s="118"/>
      <c r="F183" s="283"/>
      <c r="G183" s="284"/>
      <c r="H183" s="169"/>
      <c r="I183" s="285"/>
    </row>
    <row r="184" spans="1:9" ht="15.75">
      <c r="A184" s="26"/>
      <c r="D184" s="118"/>
      <c r="F184" s="283"/>
      <c r="G184" s="284"/>
      <c r="H184" s="169"/>
      <c r="I184" s="285"/>
    </row>
    <row r="185" spans="1:9" ht="15.75">
      <c r="A185" s="26"/>
      <c r="D185" s="118"/>
      <c r="F185" s="283"/>
      <c r="G185" s="284"/>
      <c r="H185" s="169"/>
      <c r="I185" s="285"/>
    </row>
    <row r="186" spans="1:9" ht="15.75">
      <c r="A186" s="26"/>
      <c r="D186" s="118"/>
      <c r="F186" s="283"/>
      <c r="G186" s="284"/>
      <c r="H186" s="169"/>
      <c r="I186" s="285"/>
    </row>
    <row r="187" spans="1:9" ht="15.75">
      <c r="A187" s="26"/>
      <c r="D187" s="118"/>
      <c r="F187" s="283"/>
      <c r="G187" s="284"/>
      <c r="H187" s="169"/>
      <c r="I187" s="285"/>
    </row>
    <row r="188" spans="1:9" ht="15.75">
      <c r="A188" s="26"/>
      <c r="D188" s="118"/>
      <c r="F188" s="283"/>
      <c r="G188" s="284"/>
      <c r="H188" s="169"/>
      <c r="I188" s="285"/>
    </row>
    <row r="189" spans="1:9" ht="15.75">
      <c r="A189" s="26"/>
      <c r="D189" s="118"/>
      <c r="F189" s="283"/>
      <c r="G189" s="284"/>
      <c r="H189" s="169"/>
      <c r="I189" s="285"/>
    </row>
    <row r="190" spans="1:9" ht="15.75">
      <c r="A190" s="26"/>
      <c r="D190" s="118"/>
      <c r="F190" s="283"/>
      <c r="G190" s="284"/>
      <c r="H190" s="169"/>
      <c r="I190" s="285"/>
    </row>
    <row r="191" spans="1:9" ht="15.75">
      <c r="A191" s="26"/>
      <c r="D191" s="118"/>
      <c r="F191" s="283"/>
      <c r="G191" s="284"/>
      <c r="H191" s="169"/>
      <c r="I191" s="285"/>
    </row>
    <row r="192" spans="1:9" ht="15.75">
      <c r="A192" s="26"/>
      <c r="D192" s="118"/>
      <c r="F192" s="283"/>
      <c r="G192" s="284"/>
      <c r="H192" s="169"/>
      <c r="I192" s="285"/>
    </row>
    <row r="193" spans="1:9" ht="15.75">
      <c r="A193" s="26"/>
      <c r="D193" s="118"/>
      <c r="F193" s="283"/>
      <c r="G193" s="284"/>
      <c r="H193" s="169"/>
      <c r="I193" s="285"/>
    </row>
    <row r="194" spans="1:9" ht="15.75">
      <c r="A194" s="26"/>
      <c r="D194" s="118"/>
      <c r="F194" s="283"/>
      <c r="G194" s="284"/>
      <c r="H194" s="169"/>
      <c r="I194" s="285"/>
    </row>
    <row r="195" spans="1:9" ht="15.75">
      <c r="A195" s="26"/>
      <c r="D195" s="118"/>
      <c r="F195" s="283"/>
      <c r="G195" s="284"/>
      <c r="H195" s="169"/>
      <c r="I195" s="285"/>
    </row>
    <row r="196" spans="1:9" ht="15.75">
      <c r="A196" s="26"/>
      <c r="D196" s="118"/>
      <c r="F196" s="283"/>
      <c r="G196" s="284"/>
      <c r="H196" s="169"/>
      <c r="I196" s="285"/>
    </row>
    <row r="197" spans="1:9" ht="15.75">
      <c r="A197" s="26"/>
      <c r="D197" s="118"/>
      <c r="F197" s="283"/>
      <c r="G197" s="284"/>
      <c r="H197" s="169"/>
      <c r="I197" s="285"/>
    </row>
    <row r="198" spans="1:9" ht="15.75">
      <c r="A198" s="26"/>
      <c r="D198" s="118"/>
      <c r="F198" s="283"/>
      <c r="G198" s="284"/>
      <c r="H198" s="169"/>
      <c r="I198" s="285"/>
    </row>
    <row r="199" spans="1:9" ht="15.75">
      <c r="A199" s="26"/>
      <c r="D199" s="118"/>
      <c r="F199" s="283"/>
      <c r="G199" s="284"/>
      <c r="H199" s="169"/>
      <c r="I199" s="285"/>
    </row>
    <row r="200" spans="1:9" ht="15.75">
      <c r="A200" s="26"/>
      <c r="D200" s="118"/>
      <c r="F200" s="283"/>
      <c r="G200" s="284"/>
      <c r="H200" s="169"/>
      <c r="I200" s="285"/>
    </row>
    <row r="201" spans="1:9" ht="15.75">
      <c r="A201" s="26"/>
      <c r="D201" s="118"/>
      <c r="F201" s="283"/>
      <c r="G201" s="284"/>
      <c r="H201" s="169"/>
      <c r="I201" s="285"/>
    </row>
    <row r="202" spans="1:9" ht="15.75">
      <c r="A202" s="26"/>
      <c r="D202" s="118"/>
      <c r="F202" s="283"/>
      <c r="G202" s="284"/>
      <c r="H202" s="169"/>
      <c r="I202" s="285"/>
    </row>
    <row r="203" spans="1:9" ht="15.75">
      <c r="A203" s="26"/>
      <c r="D203" s="118"/>
      <c r="F203" s="283"/>
      <c r="G203" s="284"/>
      <c r="H203" s="169"/>
      <c r="I203" s="285"/>
    </row>
    <row r="204" spans="1:9" ht="15.75">
      <c r="A204" s="26"/>
      <c r="D204" s="118"/>
      <c r="F204" s="283"/>
      <c r="G204" s="284"/>
      <c r="H204" s="169"/>
      <c r="I204" s="285"/>
    </row>
    <row r="205" spans="1:9" ht="15.75">
      <c r="A205" s="26"/>
      <c r="D205" s="118"/>
      <c r="F205" s="283"/>
      <c r="G205" s="284"/>
      <c r="H205" s="169"/>
      <c r="I205" s="285"/>
    </row>
    <row r="206" spans="1:9" ht="15.75">
      <c r="A206" s="26"/>
      <c r="D206" s="118"/>
      <c r="F206" s="283"/>
      <c r="G206" s="284"/>
      <c r="H206" s="169"/>
      <c r="I206" s="285"/>
    </row>
    <row r="207" spans="1:9" ht="15.75">
      <c r="A207" s="26"/>
      <c r="D207" s="118"/>
      <c r="F207" s="283"/>
      <c r="G207" s="284"/>
      <c r="H207" s="169"/>
      <c r="I207" s="285"/>
    </row>
    <row r="208" spans="1:9" ht="15.75">
      <c r="A208" s="26"/>
      <c r="D208" s="118"/>
      <c r="F208" s="283"/>
      <c r="G208" s="284"/>
      <c r="H208" s="169"/>
      <c r="I208" s="285"/>
    </row>
    <row r="209" spans="1:9" ht="15.75">
      <c r="A209" s="26"/>
      <c r="D209" s="118"/>
      <c r="F209" s="283"/>
      <c r="G209" s="284"/>
      <c r="H209" s="169"/>
      <c r="I209" s="285"/>
    </row>
    <row r="210" spans="1:9" ht="15.75">
      <c r="A210" s="26"/>
      <c r="D210" s="118"/>
      <c r="F210" s="283"/>
      <c r="G210" s="284"/>
      <c r="H210" s="169"/>
      <c r="I210" s="285"/>
    </row>
    <row r="211" spans="1:9" ht="15.75">
      <c r="A211" s="26"/>
      <c r="D211" s="118"/>
      <c r="F211" s="283"/>
      <c r="G211" s="284"/>
      <c r="H211" s="169"/>
      <c r="I211" s="285"/>
    </row>
    <row r="212" spans="1:9" ht="15.75">
      <c r="A212" s="26"/>
      <c r="D212" s="118"/>
      <c r="F212" s="283"/>
      <c r="G212" s="284"/>
      <c r="H212" s="169"/>
      <c r="I212" s="285"/>
    </row>
    <row r="213" spans="1:9" ht="15.75">
      <c r="A213" s="26"/>
      <c r="D213" s="118"/>
      <c r="F213" s="283"/>
      <c r="G213" s="284"/>
      <c r="H213" s="169"/>
      <c r="I213" s="285"/>
    </row>
    <row r="214" spans="1:9" ht="15.75">
      <c r="A214" s="26"/>
      <c r="D214" s="118"/>
      <c r="F214" s="283"/>
      <c r="G214" s="284"/>
      <c r="H214" s="169"/>
      <c r="I214" s="285"/>
    </row>
    <row r="215" spans="1:9" ht="15.75">
      <c r="A215" s="26"/>
      <c r="D215" s="118"/>
      <c r="F215" s="283"/>
      <c r="G215" s="284"/>
      <c r="H215" s="169"/>
      <c r="I215" s="285"/>
    </row>
    <row r="216" spans="1:9" ht="15.75">
      <c r="A216" s="26"/>
      <c r="D216" s="118"/>
      <c r="F216" s="283"/>
      <c r="G216" s="284"/>
      <c r="H216" s="169"/>
      <c r="I216" s="285"/>
    </row>
    <row r="217" spans="1:9" ht="15.75">
      <c r="A217" s="26"/>
      <c r="D217" s="118"/>
      <c r="F217" s="283"/>
      <c r="G217" s="284"/>
      <c r="H217" s="169"/>
      <c r="I217" s="285"/>
    </row>
    <row r="218" spans="1:9" ht="15.75">
      <c r="A218" s="26"/>
      <c r="D218" s="118"/>
      <c r="F218" s="283"/>
      <c r="G218" s="284"/>
      <c r="H218" s="169"/>
      <c r="I218" s="285"/>
    </row>
    <row r="219" spans="1:9" ht="15.75">
      <c r="A219" s="26"/>
      <c r="D219" s="118"/>
      <c r="F219" s="283"/>
      <c r="G219" s="284"/>
      <c r="H219" s="169"/>
      <c r="I219" s="285"/>
    </row>
    <row r="220" spans="1:9" ht="15.75">
      <c r="A220" s="26"/>
      <c r="D220" s="118"/>
      <c r="F220" s="283"/>
      <c r="G220" s="284"/>
      <c r="H220" s="169"/>
      <c r="I220" s="285"/>
    </row>
    <row r="221" spans="1:9" ht="15.75">
      <c r="A221" s="26"/>
      <c r="D221" s="118"/>
      <c r="F221" s="283"/>
      <c r="G221" s="284"/>
      <c r="H221" s="169"/>
      <c r="I221" s="285"/>
    </row>
    <row r="222" spans="1:9" ht="15.75">
      <c r="A222" s="26"/>
      <c r="D222" s="118"/>
      <c r="F222" s="283"/>
      <c r="G222" s="284"/>
      <c r="H222" s="169"/>
      <c r="I222" s="285"/>
    </row>
    <row r="223" spans="1:9" ht="15.75">
      <c r="A223" s="26"/>
      <c r="D223" s="118"/>
      <c r="F223" s="283"/>
      <c r="G223" s="284"/>
      <c r="H223" s="169"/>
      <c r="I223" s="285"/>
    </row>
    <row r="224" spans="1:9" ht="15.75">
      <c r="A224" s="26"/>
      <c r="D224" s="118"/>
      <c r="F224" s="283"/>
      <c r="G224" s="284"/>
      <c r="H224" s="169"/>
      <c r="I224" s="285"/>
    </row>
    <row r="225" spans="1:9" ht="15.75">
      <c r="A225" s="26"/>
      <c r="D225" s="118"/>
      <c r="F225" s="283"/>
      <c r="G225" s="284"/>
      <c r="H225" s="169"/>
      <c r="I225" s="285"/>
    </row>
    <row r="226" spans="1:9" ht="15.75">
      <c r="A226" s="26"/>
      <c r="D226" s="118"/>
      <c r="F226" s="283"/>
      <c r="G226" s="284"/>
      <c r="H226" s="169"/>
      <c r="I226" s="285"/>
    </row>
    <row r="227" spans="1:9" ht="15.75">
      <c r="A227" s="26"/>
      <c r="D227" s="118"/>
      <c r="F227" s="283"/>
      <c r="G227" s="284"/>
      <c r="H227" s="169"/>
      <c r="I227" s="285"/>
    </row>
    <row r="228" spans="1:9" ht="15.75">
      <c r="A228" s="26"/>
      <c r="D228" s="118"/>
      <c r="F228" s="283"/>
      <c r="G228" s="284"/>
      <c r="H228" s="169"/>
      <c r="I228" s="285"/>
    </row>
    <row r="229" spans="1:9" ht="15.75">
      <c r="A229" s="26"/>
      <c r="D229" s="118"/>
      <c r="F229" s="283"/>
      <c r="G229" s="284"/>
      <c r="H229" s="169"/>
      <c r="I229" s="285"/>
    </row>
    <row r="230" spans="1:9" ht="15.75">
      <c r="A230" s="26"/>
      <c r="D230" s="118"/>
      <c r="F230" s="283"/>
      <c r="G230" s="284"/>
      <c r="H230" s="169"/>
      <c r="I230" s="285"/>
    </row>
    <row r="231" spans="1:9" ht="15.75">
      <c r="A231" s="26"/>
      <c r="D231" s="118"/>
      <c r="F231" s="283"/>
      <c r="G231" s="284"/>
      <c r="H231" s="169"/>
      <c r="I231" s="285"/>
    </row>
    <row r="232" spans="1:9" ht="15.75">
      <c r="A232" s="26"/>
      <c r="D232" s="118"/>
      <c r="F232" s="283"/>
      <c r="G232" s="284"/>
      <c r="H232" s="169"/>
      <c r="I232" s="285"/>
    </row>
    <row r="233" spans="1:9" ht="15.75">
      <c r="A233" s="26"/>
      <c r="D233" s="118"/>
      <c r="F233" s="283"/>
      <c r="G233" s="284"/>
      <c r="H233" s="169"/>
      <c r="I233" s="285"/>
    </row>
    <row r="234" spans="1:9" ht="15.75">
      <c r="A234" s="26"/>
      <c r="D234" s="118"/>
      <c r="F234" s="283"/>
      <c r="G234" s="284"/>
      <c r="H234" s="169"/>
      <c r="I234" s="285"/>
    </row>
    <row r="235" spans="1:9" ht="15.75">
      <c r="A235" s="26"/>
      <c r="D235" s="118"/>
      <c r="F235" s="283"/>
      <c r="G235" s="284"/>
      <c r="H235" s="169"/>
      <c r="I235" s="285"/>
    </row>
    <row r="236" spans="1:9" ht="15.75">
      <c r="A236" s="26"/>
      <c r="D236" s="118"/>
      <c r="F236" s="283"/>
      <c r="G236" s="284"/>
      <c r="H236" s="169"/>
      <c r="I236" s="285"/>
    </row>
    <row r="237" spans="1:9" ht="15.75">
      <c r="A237" s="26"/>
      <c r="D237" s="118"/>
      <c r="F237" s="283"/>
      <c r="G237" s="284"/>
      <c r="H237" s="169"/>
      <c r="I237" s="285"/>
    </row>
    <row r="238" spans="1:9" ht="15.75">
      <c r="A238" s="26"/>
      <c r="D238" s="118"/>
      <c r="F238" s="283"/>
      <c r="G238" s="284"/>
      <c r="H238" s="169"/>
      <c r="I238" s="285"/>
    </row>
    <row r="239" spans="1:9" ht="15.75">
      <c r="A239" s="26"/>
      <c r="D239" s="118"/>
      <c r="F239" s="283"/>
      <c r="G239" s="284"/>
      <c r="H239" s="169"/>
      <c r="I239" s="285"/>
    </row>
    <row r="240" spans="1:9" ht="15.75">
      <c r="A240" s="26"/>
      <c r="D240" s="118"/>
      <c r="F240" s="283"/>
      <c r="G240" s="284"/>
      <c r="H240" s="169"/>
      <c r="I240" s="285"/>
    </row>
    <row r="241" spans="1:9" ht="15.75">
      <c r="A241" s="26"/>
      <c r="D241" s="118"/>
      <c r="F241" s="283"/>
      <c r="G241" s="284"/>
      <c r="H241" s="169"/>
      <c r="I241" s="285"/>
    </row>
    <row r="242" spans="1:9" ht="15.75">
      <c r="A242" s="26"/>
      <c r="D242" s="118"/>
      <c r="F242" s="283"/>
      <c r="G242" s="284"/>
      <c r="H242" s="169"/>
      <c r="I242" s="285"/>
    </row>
    <row r="243" spans="1:9" ht="15.75">
      <c r="A243" s="26"/>
      <c r="D243" s="118"/>
      <c r="F243" s="283"/>
      <c r="G243" s="284"/>
      <c r="H243" s="169"/>
      <c r="I243" s="285"/>
    </row>
    <row r="244" spans="1:9" ht="15.75">
      <c r="A244" s="26"/>
      <c r="D244" s="118"/>
      <c r="F244" s="283"/>
      <c r="G244" s="284"/>
      <c r="H244" s="169"/>
      <c r="I244" s="285"/>
    </row>
    <row r="245" spans="1:9" ht="15.75">
      <c r="A245" s="26"/>
      <c r="D245" s="118"/>
      <c r="F245" s="283"/>
      <c r="G245" s="284"/>
      <c r="H245" s="169"/>
      <c r="I245" s="285"/>
    </row>
    <row r="246" spans="1:9" ht="15.75">
      <c r="A246" s="26"/>
      <c r="D246" s="118"/>
      <c r="F246" s="283"/>
      <c r="G246" s="284"/>
      <c r="H246" s="169"/>
      <c r="I246" s="285"/>
    </row>
    <row r="247" spans="1:9" ht="15.75">
      <c r="A247" s="26"/>
      <c r="D247" s="118"/>
      <c r="F247" s="283"/>
      <c r="G247" s="284"/>
      <c r="H247" s="169"/>
      <c r="I247" s="285"/>
    </row>
    <row r="248" spans="1:9" ht="15.75">
      <c r="A248" s="26"/>
      <c r="D248" s="118"/>
      <c r="F248" s="283"/>
      <c r="G248" s="284"/>
      <c r="H248" s="169"/>
      <c r="I248" s="285"/>
    </row>
    <row r="249" spans="1:9" ht="15.75">
      <c r="A249" s="26"/>
      <c r="D249" s="118"/>
      <c r="F249" s="283"/>
      <c r="G249" s="284"/>
      <c r="H249" s="169"/>
      <c r="I249" s="285"/>
    </row>
    <row r="250" spans="1:9" ht="15.75">
      <c r="A250" s="26"/>
      <c r="D250" s="118"/>
      <c r="F250" s="283"/>
      <c r="G250" s="284"/>
      <c r="H250" s="169"/>
      <c r="I250" s="285"/>
    </row>
    <row r="251" spans="1:9" ht="15.75">
      <c r="A251" s="26"/>
      <c r="D251" s="118"/>
      <c r="F251" s="283"/>
      <c r="G251" s="284"/>
      <c r="H251" s="169"/>
      <c r="I251" s="285"/>
    </row>
    <row r="252" spans="1:9" ht="15.75">
      <c r="A252" s="26"/>
      <c r="D252" s="118"/>
      <c r="F252" s="283"/>
      <c r="G252" s="284"/>
      <c r="H252" s="169"/>
      <c r="I252" s="285"/>
    </row>
    <row r="253" spans="1:9" ht="15.75">
      <c r="A253" s="26"/>
      <c r="D253" s="118"/>
      <c r="F253" s="283"/>
      <c r="G253" s="284"/>
      <c r="H253" s="169"/>
      <c r="I253" s="285"/>
    </row>
    <row r="254" spans="1:9" ht="15.75">
      <c r="A254" s="26"/>
      <c r="D254" s="118"/>
      <c r="F254" s="283"/>
      <c r="G254" s="284"/>
      <c r="H254" s="169"/>
      <c r="I254" s="285"/>
    </row>
    <row r="255" spans="1:9" ht="15.75">
      <c r="A255" s="26"/>
      <c r="D255" s="118"/>
      <c r="F255" s="283"/>
      <c r="G255" s="284"/>
      <c r="H255" s="169"/>
      <c r="I255" s="285"/>
    </row>
    <row r="256" spans="1:9" ht="15.75">
      <c r="A256" s="26"/>
      <c r="D256" s="118"/>
      <c r="F256" s="283"/>
      <c r="G256" s="284"/>
      <c r="H256" s="169"/>
      <c r="I256" s="285"/>
    </row>
    <row r="257" spans="1:9" ht="15.75">
      <c r="A257" s="26"/>
      <c r="D257" s="118"/>
      <c r="F257" s="283"/>
      <c r="G257" s="284"/>
      <c r="H257" s="169"/>
      <c r="I257" s="285"/>
    </row>
    <row r="258" spans="1:9" ht="15.75">
      <c r="A258" s="26"/>
      <c r="D258" s="118"/>
      <c r="F258" s="283"/>
      <c r="G258" s="284"/>
      <c r="H258" s="169"/>
      <c r="I258" s="285"/>
    </row>
    <row r="259" spans="1:9" ht="15.75">
      <c r="A259" s="26"/>
      <c r="D259" s="118"/>
      <c r="F259" s="283"/>
      <c r="G259" s="284"/>
      <c r="H259" s="169"/>
      <c r="I259" s="285"/>
    </row>
    <row r="260" spans="1:9" ht="15.75">
      <c r="A260" s="26"/>
      <c r="D260" s="118"/>
      <c r="F260" s="283"/>
      <c r="G260" s="284"/>
      <c r="H260" s="169"/>
      <c r="I260" s="285"/>
    </row>
    <row r="261" spans="1:9" ht="15.75">
      <c r="A261" s="26"/>
      <c r="D261" s="118"/>
      <c r="F261" s="283"/>
      <c r="G261" s="284"/>
      <c r="H261" s="169"/>
      <c r="I261" s="285"/>
    </row>
    <row r="262" spans="1:9" ht="15.75">
      <c r="A262" s="26"/>
      <c r="D262" s="118"/>
      <c r="F262" s="283"/>
      <c r="G262" s="284"/>
      <c r="H262" s="169"/>
      <c r="I262" s="285"/>
    </row>
    <row r="263" spans="1:9" ht="15.75">
      <c r="A263" s="26"/>
      <c r="D263" s="118"/>
      <c r="F263" s="283"/>
      <c r="G263" s="284"/>
      <c r="H263" s="169"/>
      <c r="I263" s="285"/>
    </row>
    <row r="264" spans="1:9" ht="15.75">
      <c r="A264" s="26"/>
      <c r="D264" s="118"/>
      <c r="F264" s="283"/>
      <c r="G264" s="284"/>
      <c r="H264" s="169"/>
      <c r="I264" s="285"/>
    </row>
    <row r="265" spans="1:9" ht="15.75">
      <c r="A265" s="26"/>
      <c r="D265" s="118"/>
      <c r="F265" s="283"/>
      <c r="G265" s="284"/>
      <c r="H265" s="169"/>
      <c r="I265" s="285"/>
    </row>
    <row r="266" spans="1:9" ht="15.75">
      <c r="A266" s="26"/>
      <c r="D266" s="118"/>
      <c r="F266" s="283"/>
      <c r="G266" s="284"/>
      <c r="H266" s="169"/>
      <c r="I266" s="285"/>
    </row>
    <row r="267" spans="1:9" ht="15.75">
      <c r="A267" s="26"/>
      <c r="D267" s="118"/>
      <c r="F267" s="283"/>
      <c r="G267" s="284"/>
      <c r="H267" s="169"/>
      <c r="I267" s="285"/>
    </row>
    <row r="268" spans="1:9" ht="15.75">
      <c r="A268" s="26"/>
      <c r="D268" s="118"/>
      <c r="F268" s="283"/>
      <c r="G268" s="284"/>
      <c r="H268" s="169"/>
      <c r="I268" s="285"/>
    </row>
    <row r="269" spans="1:9" ht="15.75">
      <c r="A269" s="26"/>
      <c r="D269" s="118"/>
      <c r="F269" s="283"/>
      <c r="G269" s="284"/>
      <c r="H269" s="169"/>
      <c r="I269" s="285"/>
    </row>
    <row r="270" spans="1:9" ht="15.75">
      <c r="A270" s="26"/>
      <c r="D270" s="118"/>
      <c r="F270" s="283"/>
      <c r="G270" s="284"/>
      <c r="H270" s="169"/>
      <c r="I270" s="285"/>
    </row>
    <row r="271" spans="1:9" ht="15.75">
      <c r="A271" s="26"/>
      <c r="D271" s="118"/>
      <c r="F271" s="283"/>
      <c r="G271" s="284"/>
      <c r="H271" s="169"/>
      <c r="I271" s="285"/>
    </row>
    <row r="272" spans="1:9" ht="15.75">
      <c r="A272" s="26"/>
      <c r="D272" s="118"/>
      <c r="F272" s="283"/>
      <c r="G272" s="284"/>
      <c r="H272" s="169"/>
      <c r="I272" s="285"/>
    </row>
    <row r="273" spans="1:9" ht="15.75">
      <c r="A273" s="26"/>
      <c r="D273" s="118"/>
      <c r="F273" s="283"/>
      <c r="G273" s="284"/>
      <c r="H273" s="169"/>
      <c r="I273" s="285"/>
    </row>
    <row r="274" spans="1:9" ht="15.75">
      <c r="A274" s="26"/>
      <c r="D274" s="118"/>
      <c r="F274" s="283"/>
      <c r="G274" s="284"/>
      <c r="H274" s="169"/>
      <c r="I274" s="285"/>
    </row>
    <row r="275" spans="1:9" ht="15.75">
      <c r="A275" s="26"/>
      <c r="D275" s="118"/>
      <c r="F275" s="283"/>
      <c r="G275" s="284"/>
      <c r="H275" s="169"/>
      <c r="I275" s="285"/>
    </row>
    <row r="276" spans="1:9" ht="15.75">
      <c r="A276" s="26"/>
      <c r="D276" s="118"/>
      <c r="F276" s="283"/>
      <c r="G276" s="284"/>
      <c r="H276" s="169"/>
      <c r="I276" s="285"/>
    </row>
    <row r="277" spans="1:9" ht="15.75">
      <c r="A277" s="26"/>
      <c r="D277" s="118"/>
      <c r="F277" s="283"/>
      <c r="G277" s="284"/>
      <c r="H277" s="169"/>
      <c r="I277" s="285"/>
    </row>
    <row r="278" spans="1:9" ht="15.75">
      <c r="A278" s="26"/>
      <c r="D278" s="118"/>
      <c r="F278" s="283"/>
      <c r="G278" s="284"/>
      <c r="H278" s="169"/>
      <c r="I278" s="285"/>
    </row>
    <row r="279" spans="1:9" ht="15.75">
      <c r="A279" s="26"/>
      <c r="D279" s="118"/>
      <c r="F279" s="283"/>
      <c r="G279" s="284"/>
      <c r="H279" s="169"/>
      <c r="I279" s="285"/>
    </row>
    <row r="280" spans="1:9" ht="15.75">
      <c r="A280" s="26"/>
      <c r="D280" s="118"/>
      <c r="F280" s="283"/>
      <c r="G280" s="284"/>
      <c r="H280" s="169"/>
      <c r="I280" s="285"/>
    </row>
    <row r="281" spans="1:9" ht="15.75">
      <c r="A281" s="26"/>
      <c r="D281" s="118"/>
      <c r="F281" s="283"/>
      <c r="G281" s="284"/>
      <c r="H281" s="169"/>
      <c r="I281" s="285"/>
    </row>
    <row r="282" spans="1:9" ht="15.75">
      <c r="A282" s="26"/>
      <c r="D282" s="118"/>
      <c r="F282" s="283"/>
      <c r="G282" s="284"/>
      <c r="H282" s="169"/>
      <c r="I282" s="285"/>
    </row>
    <row r="283" spans="1:9" ht="15.75">
      <c r="A283" s="26"/>
      <c r="D283" s="118"/>
      <c r="F283" s="283"/>
      <c r="G283" s="284"/>
      <c r="H283" s="169"/>
      <c r="I283" s="285"/>
    </row>
    <row r="284" spans="1:9" ht="15.75">
      <c r="A284" s="26"/>
      <c r="D284" s="118"/>
      <c r="F284" s="283"/>
      <c r="G284" s="284"/>
      <c r="H284" s="169"/>
      <c r="I284" s="285"/>
    </row>
    <row r="285" spans="1:9" ht="15.75">
      <c r="A285" s="26"/>
      <c r="D285" s="118"/>
      <c r="F285" s="283"/>
      <c r="G285" s="284"/>
      <c r="H285" s="169"/>
      <c r="I285" s="285"/>
    </row>
    <row r="286" spans="1:9" ht="15.75">
      <c r="A286" s="26"/>
      <c r="D286" s="118"/>
      <c r="F286" s="283"/>
      <c r="G286" s="284"/>
      <c r="H286" s="169"/>
      <c r="I286" s="285"/>
    </row>
    <row r="287" spans="1:9" ht="15.75">
      <c r="A287" s="26"/>
      <c r="D287" s="118"/>
      <c r="F287" s="283"/>
      <c r="G287" s="284"/>
      <c r="H287" s="169"/>
      <c r="I287" s="285"/>
    </row>
    <row r="288" spans="1:9" ht="15.75">
      <c r="A288" s="26"/>
      <c r="D288" s="118"/>
      <c r="F288" s="283"/>
      <c r="G288" s="284"/>
      <c r="H288" s="169"/>
      <c r="I288" s="285"/>
    </row>
    <row r="289" spans="1:9" ht="15.75">
      <c r="A289" s="26"/>
      <c r="D289" s="118"/>
      <c r="F289" s="283"/>
      <c r="G289" s="284"/>
      <c r="H289" s="169"/>
      <c r="I289" s="285"/>
    </row>
    <row r="290" spans="1:9" ht="15.75">
      <c r="A290" s="26"/>
      <c r="D290" s="118"/>
      <c r="F290" s="283"/>
      <c r="G290" s="284"/>
      <c r="H290" s="169"/>
      <c r="I290" s="285"/>
    </row>
    <row r="291" spans="1:9" ht="15.75">
      <c r="A291" s="26"/>
      <c r="D291" s="118"/>
      <c r="F291" s="283"/>
      <c r="G291" s="284"/>
      <c r="H291" s="169"/>
      <c r="I291" s="285"/>
    </row>
    <row r="292" spans="1:9" ht="15.75">
      <c r="A292" s="26"/>
      <c r="D292" s="118"/>
      <c r="F292" s="283"/>
      <c r="G292" s="284"/>
      <c r="H292" s="169"/>
      <c r="I292" s="285"/>
    </row>
    <row r="293" spans="1:9" ht="15.75">
      <c r="A293" s="26"/>
      <c r="D293" s="118"/>
      <c r="F293" s="283"/>
      <c r="G293" s="284"/>
      <c r="H293" s="169"/>
      <c r="I293" s="285"/>
    </row>
    <row r="294" spans="1:9" ht="15.75">
      <c r="A294" s="26"/>
      <c r="D294" s="118"/>
      <c r="F294" s="283"/>
      <c r="G294" s="284"/>
      <c r="H294" s="169"/>
      <c r="I294" s="285"/>
    </row>
    <row r="295" spans="1:9" ht="15.75">
      <c r="A295" s="26"/>
      <c r="D295" s="118"/>
      <c r="F295" s="283"/>
      <c r="G295" s="284"/>
      <c r="H295" s="169"/>
      <c r="I295" s="285"/>
    </row>
    <row r="296" spans="1:9" ht="15.75">
      <c r="A296" s="26"/>
      <c r="D296" s="118"/>
      <c r="F296" s="283"/>
      <c r="G296" s="284"/>
      <c r="H296" s="169"/>
      <c r="I296" s="285"/>
    </row>
    <row r="297" spans="1:9" ht="15.75">
      <c r="A297" s="26"/>
      <c r="D297" s="118"/>
      <c r="F297" s="283"/>
      <c r="G297" s="284"/>
      <c r="H297" s="169"/>
      <c r="I297" s="285"/>
    </row>
    <row r="298" spans="1:9" ht="15.75">
      <c r="A298" s="26"/>
      <c r="D298" s="118"/>
      <c r="F298" s="283"/>
      <c r="G298" s="284"/>
      <c r="H298" s="169"/>
      <c r="I298" s="285"/>
    </row>
    <row r="299" spans="1:9" ht="15.75">
      <c r="A299" s="26"/>
      <c r="D299" s="118"/>
      <c r="F299" s="283"/>
      <c r="G299" s="284"/>
      <c r="H299" s="169"/>
      <c r="I299" s="285"/>
    </row>
    <row r="300" spans="1:9" ht="15.75">
      <c r="A300" s="26"/>
      <c r="D300" s="118"/>
      <c r="F300" s="283"/>
      <c r="G300" s="284"/>
      <c r="H300" s="169"/>
      <c r="I300" s="285"/>
    </row>
    <row r="301" spans="1:9" ht="15.75">
      <c r="A301" s="26"/>
      <c r="D301" s="118"/>
      <c r="F301" s="283"/>
      <c r="G301" s="284"/>
      <c r="H301" s="169"/>
      <c r="I301" s="285"/>
    </row>
    <row r="302" spans="1:9" ht="15.75">
      <c r="A302" s="26"/>
      <c r="D302" s="118"/>
      <c r="F302" s="283"/>
      <c r="G302" s="284"/>
      <c r="H302" s="169"/>
      <c r="I302" s="285"/>
    </row>
    <row r="303" spans="1:9" ht="15.75">
      <c r="A303" s="26"/>
      <c r="D303" s="118"/>
      <c r="F303" s="283"/>
      <c r="G303" s="284"/>
      <c r="H303" s="169"/>
      <c r="I303" s="285"/>
    </row>
    <row r="304" spans="1:9" ht="15.75">
      <c r="A304" s="26"/>
      <c r="D304" s="118"/>
      <c r="F304" s="283"/>
      <c r="G304" s="284"/>
      <c r="H304" s="169"/>
      <c r="I304" s="285"/>
    </row>
    <row r="305" spans="1:9" ht="15.75">
      <c r="A305" s="26"/>
      <c r="D305" s="118"/>
      <c r="F305" s="283"/>
      <c r="G305" s="284"/>
      <c r="H305" s="169"/>
      <c r="I305" s="285"/>
    </row>
    <row r="306" spans="1:9" ht="15.75">
      <c r="A306" s="26"/>
      <c r="D306" s="118"/>
      <c r="F306" s="283"/>
      <c r="G306" s="284"/>
      <c r="H306" s="169"/>
      <c r="I306" s="285"/>
    </row>
    <row r="307" spans="1:9" ht="15.75">
      <c r="A307" s="26"/>
      <c r="D307" s="118"/>
      <c r="F307" s="283"/>
      <c r="G307" s="284"/>
      <c r="H307" s="169"/>
      <c r="I307" s="285"/>
    </row>
    <row r="308" spans="1:9" ht="15.75">
      <c r="A308" s="26"/>
      <c r="D308" s="118"/>
      <c r="F308" s="283"/>
      <c r="G308" s="284"/>
      <c r="H308" s="169"/>
      <c r="I308" s="285"/>
    </row>
    <row r="309" spans="1:9" ht="15.75">
      <c r="A309" s="26"/>
      <c r="D309" s="118"/>
      <c r="F309" s="283"/>
      <c r="G309" s="284"/>
      <c r="H309" s="169"/>
      <c r="I309" s="285"/>
    </row>
    <row r="310" spans="1:9" ht="15.75">
      <c r="A310" s="26"/>
      <c r="D310" s="118"/>
      <c r="F310" s="283"/>
      <c r="G310" s="284"/>
      <c r="H310" s="169"/>
      <c r="I310" s="285"/>
    </row>
    <row r="311" spans="1:9" ht="15.75">
      <c r="A311" s="26"/>
      <c r="D311" s="118"/>
      <c r="F311" s="283"/>
      <c r="G311" s="284"/>
      <c r="H311" s="169"/>
      <c r="I311" s="285"/>
    </row>
    <row r="312" spans="1:9" ht="15.75">
      <c r="A312" s="26"/>
      <c r="D312" s="118"/>
      <c r="F312" s="283"/>
      <c r="G312" s="284"/>
      <c r="H312" s="169"/>
      <c r="I312" s="285"/>
    </row>
    <row r="313" spans="1:9" ht="15.75">
      <c r="A313" s="26"/>
      <c r="D313" s="118"/>
      <c r="F313" s="283"/>
      <c r="G313" s="284"/>
      <c r="H313" s="169"/>
      <c r="I313" s="285"/>
    </row>
    <row r="314" spans="1:9" ht="15.75">
      <c r="A314" s="26"/>
      <c r="D314" s="118"/>
      <c r="F314" s="283"/>
      <c r="G314" s="284"/>
      <c r="H314" s="169"/>
      <c r="I314" s="285"/>
    </row>
    <row r="315" spans="1:9" ht="15.75">
      <c r="A315" s="26"/>
      <c r="D315" s="118"/>
      <c r="F315" s="283"/>
      <c r="G315" s="284"/>
      <c r="H315" s="169"/>
      <c r="I315" s="285"/>
    </row>
    <row r="316" spans="1:9" ht="15.75">
      <c r="A316" s="26"/>
      <c r="D316" s="118"/>
      <c r="F316" s="283"/>
      <c r="G316" s="284"/>
      <c r="H316" s="169"/>
      <c r="I316" s="285"/>
    </row>
    <row r="317" spans="1:9" ht="15.75">
      <c r="A317" s="26"/>
      <c r="D317" s="118"/>
      <c r="F317" s="283"/>
      <c r="G317" s="284"/>
      <c r="H317" s="169"/>
      <c r="I317" s="285"/>
    </row>
    <row r="318" spans="1:9" ht="15.75">
      <c r="A318" s="26"/>
      <c r="D318" s="118"/>
      <c r="F318" s="283"/>
      <c r="G318" s="284"/>
      <c r="H318" s="169"/>
      <c r="I318" s="285"/>
    </row>
    <row r="319" spans="1:9" ht="15.75">
      <c r="A319" s="26"/>
      <c r="D319" s="118"/>
      <c r="F319" s="283"/>
      <c r="G319" s="284"/>
      <c r="H319" s="169"/>
      <c r="I319" s="285"/>
    </row>
    <row r="320" spans="1:9" ht="15.75">
      <c r="A320" s="26"/>
      <c r="D320" s="118"/>
      <c r="F320" s="283"/>
      <c r="G320" s="284"/>
      <c r="H320" s="169"/>
      <c r="I320" s="285"/>
    </row>
    <row r="321" spans="1:9" ht="15.75">
      <c r="A321" s="26"/>
      <c r="D321" s="118"/>
      <c r="F321" s="283"/>
      <c r="G321" s="284"/>
      <c r="H321" s="169"/>
      <c r="I321" s="285"/>
    </row>
    <row r="322" spans="1:9" ht="15.75">
      <c r="A322" s="26"/>
      <c r="D322" s="118"/>
      <c r="F322" s="283"/>
      <c r="G322" s="284"/>
      <c r="H322" s="169"/>
      <c r="I322" s="285"/>
    </row>
    <row r="323" spans="1:9" ht="15.75">
      <c r="A323" s="26"/>
      <c r="D323" s="118"/>
      <c r="F323" s="283"/>
      <c r="G323" s="284"/>
      <c r="H323" s="169"/>
      <c r="I323" s="285"/>
    </row>
    <row r="324" spans="1:9" ht="15.75">
      <c r="A324" s="26"/>
      <c r="D324" s="118"/>
      <c r="F324" s="283"/>
      <c r="G324" s="284"/>
      <c r="H324" s="169"/>
      <c r="I324" s="285"/>
    </row>
    <row r="325" spans="1:9" ht="15.75">
      <c r="A325" s="26"/>
      <c r="D325" s="118"/>
      <c r="F325" s="283"/>
      <c r="G325" s="284"/>
      <c r="H325" s="169"/>
      <c r="I325" s="285"/>
    </row>
    <row r="326" spans="1:9" ht="15.75">
      <c r="A326" s="26"/>
      <c r="D326" s="118"/>
      <c r="F326" s="283"/>
      <c r="G326" s="284"/>
      <c r="H326" s="169"/>
      <c r="I326" s="285"/>
    </row>
    <row r="327" spans="1:9" ht="15.75">
      <c r="A327" s="26"/>
      <c r="D327" s="118"/>
      <c r="F327" s="283"/>
      <c r="G327" s="284"/>
      <c r="H327" s="169"/>
      <c r="I327" s="285"/>
    </row>
    <row r="328" spans="1:9" ht="15.75">
      <c r="A328" s="26"/>
      <c r="D328" s="118"/>
      <c r="F328" s="283"/>
      <c r="G328" s="284"/>
      <c r="H328" s="169"/>
      <c r="I328" s="285"/>
    </row>
    <row r="329" spans="1:9" ht="15.75">
      <c r="A329" s="26"/>
      <c r="D329" s="118"/>
      <c r="F329" s="283"/>
      <c r="G329" s="284"/>
      <c r="H329" s="169"/>
      <c r="I329" s="285"/>
    </row>
    <row r="330" spans="1:9" ht="15.75">
      <c r="A330" s="26"/>
      <c r="D330" s="118"/>
      <c r="F330" s="283"/>
      <c r="G330" s="284"/>
      <c r="H330" s="169"/>
      <c r="I330" s="285"/>
    </row>
    <row r="331" spans="1:9" ht="15.75">
      <c r="A331" s="26"/>
      <c r="D331" s="118"/>
      <c r="F331" s="283"/>
      <c r="G331" s="284"/>
      <c r="H331" s="169"/>
      <c r="I331" s="285"/>
    </row>
    <row r="332" spans="1:9" ht="15.75">
      <c r="A332" s="26"/>
      <c r="D332" s="118"/>
      <c r="F332" s="283"/>
      <c r="G332" s="284"/>
      <c r="H332" s="169"/>
      <c r="I332" s="285"/>
    </row>
    <row r="333" spans="1:9" ht="15.75">
      <c r="A333" s="26"/>
      <c r="D333" s="118"/>
      <c r="F333" s="283"/>
      <c r="G333" s="284"/>
      <c r="H333" s="169"/>
      <c r="I333" s="285"/>
    </row>
    <row r="334" spans="1:9" ht="15.75">
      <c r="A334" s="26"/>
      <c r="D334" s="118"/>
      <c r="F334" s="283"/>
      <c r="G334" s="284"/>
      <c r="H334" s="169"/>
      <c r="I334" s="285"/>
    </row>
    <row r="335" spans="1:9" ht="15.75">
      <c r="A335" s="26"/>
      <c r="D335" s="118"/>
      <c r="F335" s="283"/>
      <c r="G335" s="284"/>
      <c r="H335" s="169"/>
      <c r="I335" s="285"/>
    </row>
    <row r="336" spans="1:9" ht="15.75">
      <c r="A336" s="26"/>
      <c r="D336" s="118"/>
      <c r="F336" s="283"/>
      <c r="G336" s="284"/>
      <c r="H336" s="169"/>
      <c r="I336" s="285"/>
    </row>
    <row r="337" spans="1:9" ht="15.75">
      <c r="A337" s="26"/>
      <c r="D337" s="118"/>
      <c r="F337" s="283"/>
      <c r="G337" s="284"/>
      <c r="H337" s="169"/>
      <c r="I337" s="285"/>
    </row>
    <row r="338" spans="1:9" ht="15.75">
      <c r="A338" s="26"/>
      <c r="D338" s="118"/>
      <c r="F338" s="283"/>
      <c r="G338" s="284"/>
      <c r="H338" s="169"/>
      <c r="I338" s="285"/>
    </row>
    <row r="339" spans="1:9" ht="15.75">
      <c r="A339" s="26"/>
      <c r="D339" s="118"/>
      <c r="F339" s="283"/>
      <c r="G339" s="284"/>
      <c r="H339" s="169"/>
      <c r="I339" s="285"/>
    </row>
    <row r="340" spans="1:9" ht="15.75">
      <c r="A340" s="26"/>
      <c r="D340" s="118"/>
      <c r="F340" s="283"/>
      <c r="G340" s="284"/>
      <c r="H340" s="169"/>
      <c r="I340" s="285"/>
    </row>
    <row r="341" spans="1:9" ht="15.75">
      <c r="A341" s="26"/>
      <c r="D341" s="118"/>
      <c r="F341" s="283"/>
      <c r="G341" s="284"/>
      <c r="H341" s="169"/>
      <c r="I341" s="285"/>
    </row>
    <row r="342" spans="1:9" ht="15.75">
      <c r="A342" s="26"/>
      <c r="D342" s="118"/>
      <c r="F342" s="283"/>
      <c r="G342" s="284"/>
      <c r="H342" s="169"/>
      <c r="I342" s="285"/>
    </row>
    <row r="343" spans="1:9" ht="15.75">
      <c r="A343" s="26"/>
      <c r="D343" s="118"/>
      <c r="F343" s="283"/>
      <c r="G343" s="284"/>
      <c r="H343" s="169"/>
      <c r="I343" s="285"/>
    </row>
    <row r="344" spans="1:9" ht="15.75">
      <c r="A344" s="26"/>
      <c r="D344" s="118"/>
      <c r="F344" s="283"/>
      <c r="G344" s="284"/>
      <c r="H344" s="169"/>
      <c r="I344" s="285"/>
    </row>
    <row r="345" spans="1:9" ht="15.75">
      <c r="A345" s="26"/>
      <c r="D345" s="118"/>
      <c r="F345" s="283"/>
      <c r="G345" s="284"/>
      <c r="H345" s="169"/>
      <c r="I345" s="285"/>
    </row>
    <row r="346" spans="1:9" ht="15.75">
      <c r="A346" s="26"/>
      <c r="D346" s="118"/>
      <c r="F346" s="283"/>
      <c r="G346" s="284"/>
      <c r="H346" s="169"/>
      <c r="I346" s="285"/>
    </row>
    <row r="347" spans="1:9" ht="15.75">
      <c r="A347" s="26"/>
      <c r="D347" s="118"/>
      <c r="F347" s="283"/>
      <c r="G347" s="284"/>
      <c r="H347" s="169"/>
      <c r="I347" s="285"/>
    </row>
    <row r="348" spans="1:9" ht="15.75">
      <c r="A348" s="26"/>
      <c r="D348" s="118"/>
      <c r="F348" s="283"/>
      <c r="G348" s="284"/>
      <c r="H348" s="169"/>
      <c r="I348" s="285"/>
    </row>
    <row r="349" spans="1:9" ht="15.75">
      <c r="A349" s="26"/>
      <c r="D349" s="118"/>
      <c r="F349" s="283"/>
      <c r="G349" s="284"/>
      <c r="H349" s="169"/>
      <c r="I349" s="285"/>
    </row>
    <row r="350" spans="1:9" ht="15.75">
      <c r="A350" s="26"/>
      <c r="D350" s="118"/>
      <c r="F350" s="283"/>
      <c r="G350" s="284"/>
      <c r="H350" s="169"/>
      <c r="I350" s="285"/>
    </row>
    <row r="351" spans="1:9" ht="15.75">
      <c r="A351" s="26"/>
      <c r="D351" s="118"/>
      <c r="F351" s="283"/>
      <c r="G351" s="284"/>
      <c r="H351" s="169"/>
      <c r="I351" s="285"/>
    </row>
    <row r="352" spans="1:9" ht="15.75">
      <c r="A352" s="26"/>
      <c r="D352" s="118"/>
      <c r="F352" s="283"/>
      <c r="G352" s="284"/>
      <c r="H352" s="169"/>
      <c r="I352" s="285"/>
    </row>
    <row r="353" spans="1:9" ht="15.75">
      <c r="A353" s="26"/>
      <c r="D353" s="118"/>
      <c r="F353" s="283"/>
      <c r="G353" s="284"/>
      <c r="H353" s="169"/>
      <c r="I353" s="285"/>
    </row>
    <row r="354" spans="1:9" ht="15.75">
      <c r="A354" s="26"/>
      <c r="D354" s="118"/>
      <c r="F354" s="283"/>
      <c r="G354" s="284"/>
      <c r="H354" s="169"/>
      <c r="I354" s="285"/>
    </row>
    <row r="355" spans="1:9" ht="15.75">
      <c r="A355" s="26"/>
      <c r="D355" s="118"/>
      <c r="F355" s="283"/>
      <c r="G355" s="284"/>
      <c r="H355" s="169"/>
      <c r="I355" s="285"/>
    </row>
    <row r="356" spans="1:9" ht="15.75">
      <c r="A356" s="26"/>
      <c r="D356" s="118"/>
      <c r="F356" s="283"/>
      <c r="G356" s="284"/>
      <c r="H356" s="169"/>
      <c r="I356" s="285"/>
    </row>
    <row r="357" spans="1:9" ht="15.75">
      <c r="A357" s="26"/>
      <c r="D357" s="118"/>
      <c r="F357" s="283"/>
      <c r="G357" s="284"/>
      <c r="H357" s="169"/>
      <c r="I357" s="285"/>
    </row>
    <row r="358" spans="1:9" ht="15.75">
      <c r="A358" s="26"/>
      <c r="D358" s="118"/>
      <c r="F358" s="283"/>
      <c r="G358" s="284"/>
      <c r="H358" s="169"/>
      <c r="I358" s="285"/>
    </row>
    <row r="359" spans="1:9" ht="15.75">
      <c r="A359" s="26"/>
      <c r="D359" s="118"/>
      <c r="F359" s="283"/>
      <c r="G359" s="284"/>
      <c r="H359" s="169"/>
      <c r="I359" s="285"/>
    </row>
    <row r="360" spans="1:9" ht="15.75">
      <c r="A360" s="26"/>
      <c r="D360" s="118"/>
      <c r="F360" s="283"/>
      <c r="G360" s="284"/>
      <c r="H360" s="169"/>
      <c r="I360" s="285"/>
    </row>
    <row r="361" spans="1:9" ht="15.75">
      <c r="A361" s="26"/>
      <c r="D361" s="118"/>
      <c r="F361" s="283"/>
      <c r="G361" s="284"/>
      <c r="H361" s="169"/>
      <c r="I361" s="285"/>
    </row>
    <row r="362" spans="1:9" ht="15.75">
      <c r="A362" s="26"/>
      <c r="D362" s="118"/>
      <c r="F362" s="283"/>
      <c r="G362" s="284"/>
      <c r="H362" s="169"/>
      <c r="I362" s="285"/>
    </row>
    <row r="363" spans="1:9" ht="15.75">
      <c r="A363" s="26"/>
      <c r="D363" s="118"/>
      <c r="F363" s="283"/>
      <c r="G363" s="284"/>
      <c r="H363" s="169"/>
      <c r="I363" s="285"/>
    </row>
    <row r="364" spans="1:9" ht="15.75">
      <c r="A364" s="26"/>
      <c r="D364" s="118"/>
      <c r="F364" s="283"/>
      <c r="G364" s="284"/>
      <c r="H364" s="169"/>
      <c r="I364" s="285"/>
    </row>
    <row r="365" spans="1:9" ht="15.75">
      <c r="A365" s="26"/>
      <c r="D365" s="118"/>
      <c r="F365" s="283"/>
      <c r="G365" s="284"/>
      <c r="H365" s="169"/>
      <c r="I365" s="285"/>
    </row>
    <row r="366" spans="1:9" ht="15.75">
      <c r="A366" s="26"/>
      <c r="D366" s="118"/>
      <c r="F366" s="283"/>
      <c r="G366" s="284"/>
      <c r="H366" s="169"/>
      <c r="I366" s="285"/>
    </row>
    <row r="367" spans="1:9" ht="15.75">
      <c r="A367" s="26"/>
      <c r="D367" s="118"/>
      <c r="F367" s="283"/>
      <c r="G367" s="284"/>
      <c r="H367" s="169"/>
      <c r="I367" s="285"/>
    </row>
    <row r="368" spans="1:9" ht="15.75">
      <c r="A368" s="26"/>
      <c r="D368" s="118"/>
      <c r="F368" s="283"/>
      <c r="G368" s="284"/>
      <c r="H368" s="169"/>
      <c r="I368" s="285"/>
    </row>
    <row r="369" spans="1:9" ht="15.75">
      <c r="A369" s="26"/>
      <c r="D369" s="118"/>
      <c r="F369" s="283"/>
      <c r="G369" s="284"/>
      <c r="H369" s="169"/>
      <c r="I369" s="285"/>
    </row>
    <row r="370" spans="1:9" ht="15.75">
      <c r="A370" s="26"/>
      <c r="D370" s="118"/>
      <c r="F370" s="283"/>
      <c r="G370" s="284"/>
      <c r="H370" s="169"/>
      <c r="I370" s="285"/>
    </row>
    <row r="371" spans="1:9" ht="15.75">
      <c r="A371" s="26"/>
      <c r="D371" s="118"/>
      <c r="F371" s="283"/>
      <c r="G371" s="284"/>
      <c r="H371" s="169"/>
      <c r="I371" s="285"/>
    </row>
    <row r="372" spans="1:9" ht="15.75">
      <c r="A372" s="26"/>
      <c r="D372" s="118"/>
      <c r="F372" s="283"/>
      <c r="G372" s="284"/>
      <c r="H372" s="169"/>
      <c r="I372" s="285"/>
    </row>
    <row r="373" spans="1:9" ht="15.75">
      <c r="A373" s="26"/>
      <c r="D373" s="118"/>
      <c r="F373" s="283"/>
      <c r="G373" s="284"/>
      <c r="H373" s="169"/>
      <c r="I373" s="285"/>
    </row>
    <row r="374" spans="1:9" ht="15.75">
      <c r="A374" s="26"/>
      <c r="D374" s="118"/>
      <c r="F374" s="283"/>
      <c r="G374" s="284"/>
      <c r="H374" s="169"/>
      <c r="I374" s="285"/>
    </row>
    <row r="375" spans="1:9" ht="15.75">
      <c r="A375" s="26"/>
      <c r="D375" s="118"/>
      <c r="F375" s="283"/>
      <c r="G375" s="284"/>
      <c r="H375" s="169"/>
      <c r="I375" s="285"/>
    </row>
    <row r="376" spans="1:9" ht="15.75">
      <c r="A376" s="26"/>
      <c r="D376" s="118"/>
      <c r="F376" s="283"/>
      <c r="G376" s="284"/>
      <c r="H376" s="169"/>
      <c r="I376" s="285"/>
    </row>
    <row r="377" spans="1:9" ht="15.75">
      <c r="A377" s="26"/>
      <c r="D377" s="118"/>
      <c r="F377" s="283"/>
      <c r="G377" s="284"/>
      <c r="H377" s="169"/>
      <c r="I377" s="285"/>
    </row>
    <row r="378" spans="1:9" ht="15.75">
      <c r="A378" s="26"/>
      <c r="D378" s="118"/>
      <c r="F378" s="283"/>
      <c r="G378" s="284"/>
      <c r="H378" s="169"/>
      <c r="I378" s="285"/>
    </row>
    <row r="379" spans="1:9" ht="15.75">
      <c r="A379" s="26"/>
      <c r="D379" s="118"/>
      <c r="F379" s="283"/>
      <c r="G379" s="284"/>
      <c r="H379" s="169"/>
      <c r="I379" s="285"/>
    </row>
    <row r="380" spans="1:9" ht="15.75">
      <c r="A380" s="26"/>
      <c r="D380" s="118"/>
      <c r="F380" s="283"/>
      <c r="G380" s="284"/>
      <c r="H380" s="169"/>
      <c r="I380" s="285"/>
    </row>
    <row r="381" spans="1:9" ht="15.75">
      <c r="A381" s="26"/>
      <c r="D381" s="118"/>
      <c r="F381" s="283"/>
      <c r="G381" s="284"/>
      <c r="H381" s="169"/>
      <c r="I381" s="285"/>
    </row>
    <row r="382" spans="1:9" ht="15.75">
      <c r="A382" s="26"/>
      <c r="D382" s="118"/>
      <c r="F382" s="283"/>
      <c r="G382" s="284"/>
      <c r="H382" s="169"/>
      <c r="I382" s="285"/>
    </row>
    <row r="383" spans="1:9" ht="15.75">
      <c r="A383" s="26"/>
      <c r="D383" s="118"/>
      <c r="F383" s="283"/>
      <c r="G383" s="284"/>
      <c r="H383" s="169"/>
      <c r="I383" s="285"/>
    </row>
    <row r="384" spans="1:9" ht="15.75">
      <c r="A384" s="26"/>
      <c r="D384" s="118"/>
      <c r="F384" s="283"/>
      <c r="G384" s="284"/>
      <c r="H384" s="169"/>
      <c r="I384" s="285"/>
    </row>
    <row r="385" spans="1:9" ht="15.75">
      <c r="A385" s="26"/>
      <c r="D385" s="118"/>
      <c r="F385" s="283"/>
      <c r="G385" s="284"/>
      <c r="H385" s="169"/>
      <c r="I385" s="285"/>
    </row>
    <row r="386" spans="1:9" ht="15.75">
      <c r="A386" s="26"/>
      <c r="D386" s="118"/>
      <c r="F386" s="283"/>
      <c r="G386" s="284"/>
      <c r="H386" s="169"/>
      <c r="I386" s="285"/>
    </row>
    <row r="387" spans="1:9" ht="15.75">
      <c r="A387" s="26"/>
      <c r="D387" s="118"/>
      <c r="F387" s="283"/>
      <c r="G387" s="284"/>
      <c r="H387" s="169"/>
      <c r="I387" s="285"/>
    </row>
    <row r="388" spans="1:9" ht="15.75">
      <c r="A388" s="26"/>
      <c r="D388" s="118"/>
      <c r="F388" s="283"/>
      <c r="G388" s="284"/>
      <c r="H388" s="169"/>
      <c r="I388" s="285"/>
    </row>
    <row r="389" spans="1:9" ht="15.75">
      <c r="A389" s="26"/>
      <c r="D389" s="118"/>
      <c r="F389" s="283"/>
      <c r="G389" s="284"/>
      <c r="H389" s="169"/>
      <c r="I389" s="285"/>
    </row>
    <row r="390" spans="1:9" ht="15.75">
      <c r="A390" s="26"/>
      <c r="D390" s="118"/>
      <c r="F390" s="283"/>
      <c r="G390" s="284"/>
      <c r="H390" s="169"/>
      <c r="I390" s="285"/>
    </row>
    <row r="391" spans="1:9" ht="15.75">
      <c r="A391" s="26"/>
      <c r="D391" s="118"/>
      <c r="F391" s="283"/>
      <c r="G391" s="284"/>
      <c r="H391" s="169"/>
      <c r="I391" s="285"/>
    </row>
    <row r="392" spans="1:9" ht="15.75">
      <c r="A392" s="26"/>
      <c r="D392" s="118"/>
      <c r="F392" s="283"/>
      <c r="G392" s="284"/>
      <c r="H392" s="169"/>
      <c r="I392" s="285"/>
    </row>
    <row r="393" spans="1:9" ht="15.75">
      <c r="A393" s="26"/>
      <c r="D393" s="118"/>
      <c r="F393" s="283"/>
      <c r="G393" s="284"/>
      <c r="H393" s="169"/>
      <c r="I393" s="285"/>
    </row>
    <row r="394" spans="1:9" ht="15.75">
      <c r="A394" s="26"/>
      <c r="D394" s="118"/>
      <c r="F394" s="283"/>
      <c r="G394" s="284"/>
      <c r="H394" s="169"/>
      <c r="I394" s="285"/>
    </row>
    <row r="395" spans="1:9" ht="15.75">
      <c r="A395" s="26"/>
      <c r="D395" s="118"/>
      <c r="F395" s="283"/>
      <c r="G395" s="284"/>
      <c r="H395" s="169"/>
      <c r="I395" s="285"/>
    </row>
    <row r="396" spans="1:9" ht="15.75">
      <c r="A396" s="26"/>
      <c r="D396" s="118"/>
      <c r="F396" s="283"/>
      <c r="G396" s="284"/>
      <c r="H396" s="169"/>
      <c r="I396" s="285"/>
    </row>
    <row r="397" spans="1:9" ht="15.75">
      <c r="A397" s="26"/>
      <c r="D397" s="118"/>
      <c r="F397" s="283"/>
      <c r="G397" s="284"/>
      <c r="H397" s="169"/>
      <c r="I397" s="285"/>
    </row>
    <row r="398" spans="1:9" ht="15.75">
      <c r="A398" s="26"/>
      <c r="D398" s="118"/>
      <c r="F398" s="283"/>
      <c r="G398" s="284"/>
      <c r="H398" s="169"/>
      <c r="I398" s="285"/>
    </row>
    <row r="399" spans="1:9" ht="15.75">
      <c r="A399" s="26"/>
      <c r="D399" s="118"/>
      <c r="F399" s="283"/>
      <c r="G399" s="284"/>
      <c r="H399" s="169"/>
      <c r="I399" s="285"/>
    </row>
    <row r="400" spans="1:9" ht="15.75">
      <c r="A400" s="26"/>
      <c r="D400" s="118"/>
      <c r="F400" s="283"/>
      <c r="G400" s="284"/>
      <c r="H400" s="169"/>
      <c r="I400" s="285"/>
    </row>
    <row r="401" spans="1:9" ht="15.75">
      <c r="A401" s="26"/>
      <c r="D401" s="118"/>
      <c r="F401" s="283"/>
      <c r="G401" s="284"/>
      <c r="H401" s="169"/>
      <c r="I401" s="285"/>
    </row>
    <row r="402" spans="1:9" ht="15.75">
      <c r="A402" s="26"/>
      <c r="D402" s="118"/>
      <c r="F402" s="283"/>
      <c r="G402" s="284"/>
      <c r="H402" s="169"/>
      <c r="I402" s="285"/>
    </row>
    <row r="403" spans="1:9" ht="15.75">
      <c r="A403" s="26"/>
      <c r="D403" s="118"/>
      <c r="F403" s="283"/>
      <c r="G403" s="284"/>
      <c r="H403" s="169"/>
      <c r="I403" s="285"/>
    </row>
    <row r="404" spans="1:9" ht="15.75">
      <c r="A404" s="26"/>
      <c r="D404" s="118"/>
      <c r="F404" s="283"/>
      <c r="G404" s="284"/>
      <c r="H404" s="169"/>
      <c r="I404" s="285"/>
    </row>
    <row r="405" spans="1:9" ht="15.75">
      <c r="A405" s="26"/>
      <c r="D405" s="118"/>
      <c r="F405" s="283"/>
      <c r="G405" s="284"/>
      <c r="H405" s="169"/>
      <c r="I405" s="285"/>
    </row>
    <row r="406" spans="1:9" ht="15.75">
      <c r="A406" s="26"/>
      <c r="D406" s="118"/>
      <c r="F406" s="283"/>
      <c r="G406" s="284"/>
      <c r="H406" s="169"/>
      <c r="I406" s="285"/>
    </row>
    <row r="407" spans="1:9" ht="15.75">
      <c r="A407" s="26"/>
      <c r="D407" s="118"/>
      <c r="F407" s="283"/>
      <c r="G407" s="284"/>
      <c r="H407" s="169"/>
      <c r="I407" s="285"/>
    </row>
    <row r="408" spans="1:9" ht="15.75">
      <c r="A408" s="26"/>
      <c r="D408" s="118"/>
      <c r="F408" s="283"/>
      <c r="G408" s="284"/>
      <c r="H408" s="169"/>
      <c r="I408" s="285"/>
    </row>
    <row r="409" spans="1:9" ht="15.75">
      <c r="A409" s="26"/>
      <c r="D409" s="118"/>
      <c r="F409" s="283"/>
      <c r="G409" s="284"/>
      <c r="H409" s="169"/>
      <c r="I409" s="285"/>
    </row>
    <row r="410" spans="1:9" ht="15.75">
      <c r="A410" s="26"/>
      <c r="D410" s="118"/>
      <c r="F410" s="283"/>
      <c r="G410" s="284"/>
      <c r="H410" s="169"/>
      <c r="I410" s="285"/>
    </row>
    <row r="411" spans="1:9" ht="15.75">
      <c r="A411" s="26"/>
      <c r="D411" s="118"/>
      <c r="F411" s="283"/>
      <c r="G411" s="284"/>
      <c r="H411" s="169"/>
      <c r="I411" s="285"/>
    </row>
    <row r="412" spans="1:9" ht="15.75">
      <c r="A412" s="26"/>
      <c r="D412" s="118"/>
      <c r="F412" s="283"/>
      <c r="G412" s="284"/>
      <c r="H412" s="169"/>
      <c r="I412" s="285"/>
    </row>
    <row r="413" spans="1:9" ht="15.75">
      <c r="A413" s="26"/>
      <c r="D413" s="118"/>
      <c r="F413" s="283"/>
      <c r="G413" s="284"/>
      <c r="H413" s="169"/>
      <c r="I413" s="285"/>
    </row>
    <row r="414" spans="1:9" ht="15.75">
      <c r="A414" s="26"/>
      <c r="D414" s="118"/>
      <c r="F414" s="283"/>
      <c r="G414" s="284"/>
      <c r="H414" s="169"/>
      <c r="I414" s="285"/>
    </row>
    <row r="415" spans="1:9" ht="15.75">
      <c r="A415" s="26"/>
      <c r="D415" s="118"/>
      <c r="F415" s="283"/>
      <c r="G415" s="284"/>
      <c r="H415" s="169"/>
      <c r="I415" s="285"/>
    </row>
    <row r="416" spans="1:9" ht="15.75">
      <c r="A416" s="26"/>
      <c r="D416" s="118"/>
      <c r="F416" s="283"/>
      <c r="G416" s="284"/>
      <c r="H416" s="169"/>
      <c r="I416" s="285"/>
    </row>
    <row r="417" spans="1:9" ht="15.75">
      <c r="A417" s="26"/>
      <c r="D417" s="118"/>
      <c r="F417" s="283"/>
      <c r="G417" s="284"/>
      <c r="H417" s="169"/>
      <c r="I417" s="285"/>
    </row>
    <row r="418" spans="1:9" ht="15.75">
      <c r="A418" s="26"/>
      <c r="D418" s="118"/>
      <c r="F418" s="283"/>
      <c r="G418" s="284"/>
      <c r="H418" s="169"/>
      <c r="I418" s="285"/>
    </row>
    <row r="419" spans="1:9" ht="15.75">
      <c r="A419" s="26"/>
      <c r="D419" s="118"/>
      <c r="F419" s="283"/>
      <c r="G419" s="284"/>
      <c r="H419" s="169"/>
      <c r="I419" s="285"/>
    </row>
    <row r="420" spans="1:9" ht="15.75">
      <c r="A420" s="26"/>
      <c r="D420" s="118"/>
      <c r="F420" s="283"/>
      <c r="G420" s="284"/>
      <c r="H420" s="169"/>
      <c r="I420" s="285"/>
    </row>
    <row r="421" spans="1:9" ht="15.75">
      <c r="A421" s="26"/>
      <c r="D421" s="118"/>
      <c r="F421" s="283"/>
      <c r="G421" s="284"/>
      <c r="H421" s="169"/>
      <c r="I421" s="285"/>
    </row>
    <row r="422" spans="1:9" ht="15.75">
      <c r="A422" s="26"/>
      <c r="D422" s="118"/>
      <c r="F422" s="283"/>
      <c r="G422" s="284"/>
      <c r="H422" s="169"/>
      <c r="I422" s="285"/>
    </row>
    <row r="423" spans="1:9" ht="15.75">
      <c r="A423" s="26"/>
      <c r="D423" s="118"/>
      <c r="F423" s="283"/>
      <c r="G423" s="284"/>
      <c r="H423" s="169"/>
      <c r="I423" s="285"/>
    </row>
    <row r="424" spans="1:9" ht="15.75">
      <c r="A424" s="26"/>
      <c r="D424" s="118"/>
      <c r="F424" s="283"/>
      <c r="G424" s="284"/>
      <c r="H424" s="169"/>
      <c r="I424" s="285"/>
    </row>
    <row r="425" spans="1:9" ht="15.75">
      <c r="A425" s="26"/>
      <c r="D425" s="118"/>
      <c r="F425" s="283"/>
      <c r="G425" s="284"/>
      <c r="H425" s="169"/>
      <c r="I425" s="285"/>
    </row>
    <row r="426" spans="1:9" ht="15.75">
      <c r="A426" s="26"/>
      <c r="D426" s="118"/>
      <c r="F426" s="283"/>
      <c r="G426" s="284"/>
      <c r="H426" s="169"/>
      <c r="I426" s="285"/>
    </row>
    <row r="427" spans="1:9" ht="15.75">
      <c r="A427" s="26"/>
      <c r="D427" s="118"/>
      <c r="F427" s="283"/>
      <c r="G427" s="284"/>
      <c r="H427" s="169"/>
      <c r="I427" s="285"/>
    </row>
    <row r="428" spans="1:9" ht="15.75">
      <c r="A428" s="26"/>
      <c r="D428" s="118"/>
      <c r="F428" s="283"/>
      <c r="G428" s="284"/>
      <c r="H428" s="169"/>
      <c r="I428" s="285"/>
    </row>
    <row r="429" spans="1:9" ht="15.75">
      <c r="A429" s="26"/>
      <c r="D429" s="118"/>
      <c r="F429" s="283"/>
      <c r="G429" s="284"/>
      <c r="H429" s="169"/>
      <c r="I429" s="285"/>
    </row>
    <row r="430" spans="1:9" ht="15.75">
      <c r="A430" s="26"/>
      <c r="D430" s="118"/>
      <c r="F430" s="283"/>
      <c r="G430" s="284"/>
      <c r="H430" s="169"/>
      <c r="I430" s="285"/>
    </row>
    <row r="431" spans="1:9" ht="15.75">
      <c r="A431" s="26"/>
      <c r="D431" s="118"/>
      <c r="F431" s="283"/>
      <c r="G431" s="284"/>
      <c r="H431" s="169"/>
      <c r="I431" s="285"/>
    </row>
    <row r="432" spans="1:9" ht="15.75">
      <c r="A432" s="26"/>
      <c r="D432" s="118"/>
      <c r="F432" s="283"/>
      <c r="G432" s="284"/>
      <c r="H432" s="169"/>
      <c r="I432" s="285"/>
    </row>
    <row r="433" spans="1:9" ht="15.75">
      <c r="A433" s="26"/>
      <c r="D433" s="118"/>
      <c r="F433" s="283"/>
      <c r="G433" s="284"/>
      <c r="H433" s="169"/>
      <c r="I433" s="285"/>
    </row>
    <row r="434" spans="1:9" ht="15.75">
      <c r="A434" s="26"/>
      <c r="D434" s="118"/>
      <c r="F434" s="283"/>
      <c r="G434" s="284"/>
      <c r="H434" s="169"/>
      <c r="I434" s="285"/>
    </row>
    <row r="435" spans="1:9" ht="15.75">
      <c r="A435" s="26"/>
      <c r="D435" s="118"/>
      <c r="F435" s="283"/>
      <c r="G435" s="284"/>
      <c r="H435" s="169"/>
      <c r="I435" s="285"/>
    </row>
    <row r="436" spans="1:9" ht="15.75">
      <c r="A436" s="26"/>
      <c r="D436" s="118"/>
      <c r="F436" s="283"/>
      <c r="G436" s="284"/>
      <c r="H436" s="169"/>
      <c r="I436" s="285"/>
    </row>
    <row r="437" spans="1:9" ht="15.75">
      <c r="A437" s="26"/>
      <c r="D437" s="118"/>
      <c r="F437" s="283"/>
      <c r="G437" s="284"/>
      <c r="H437" s="169"/>
      <c r="I437" s="285"/>
    </row>
    <row r="438" spans="1:9" ht="15.75">
      <c r="A438" s="26"/>
      <c r="D438" s="118"/>
      <c r="F438" s="283"/>
      <c r="G438" s="284"/>
      <c r="H438" s="169"/>
      <c r="I438" s="285"/>
    </row>
    <row r="439" spans="1:9" ht="15.75">
      <c r="A439" s="26"/>
      <c r="D439" s="118"/>
      <c r="F439" s="283"/>
      <c r="G439" s="284"/>
      <c r="H439" s="169"/>
      <c r="I439" s="285"/>
    </row>
    <row r="440" spans="1:9" ht="15.75">
      <c r="A440" s="26"/>
      <c r="D440" s="118"/>
      <c r="F440" s="283"/>
      <c r="G440" s="284"/>
      <c r="H440" s="169"/>
      <c r="I440" s="285"/>
    </row>
    <row r="441" spans="1:9" ht="15.75">
      <c r="A441" s="26"/>
      <c r="D441" s="118"/>
      <c r="F441" s="283"/>
      <c r="G441" s="284"/>
      <c r="H441" s="169"/>
      <c r="I441" s="285"/>
    </row>
    <row r="442" spans="1:9" ht="15.75">
      <c r="A442" s="26"/>
      <c r="D442" s="118"/>
      <c r="F442" s="283"/>
      <c r="G442" s="284"/>
      <c r="H442" s="169"/>
      <c r="I442" s="285"/>
    </row>
    <row r="443" spans="1:9" ht="15.75">
      <c r="A443" s="26"/>
      <c r="D443" s="118"/>
      <c r="F443" s="283"/>
      <c r="G443" s="284"/>
      <c r="H443" s="169"/>
      <c r="I443" s="285"/>
    </row>
    <row r="444" spans="1:9" ht="15.75">
      <c r="A444" s="26"/>
      <c r="D444" s="118"/>
      <c r="F444" s="283"/>
      <c r="G444" s="284"/>
      <c r="H444" s="169"/>
      <c r="I444" s="285"/>
    </row>
    <row r="445" spans="1:9" ht="15.75">
      <c r="A445" s="26"/>
      <c r="D445" s="118"/>
      <c r="F445" s="283"/>
      <c r="G445" s="284"/>
      <c r="H445" s="169"/>
      <c r="I445" s="285"/>
    </row>
    <row r="446" spans="1:9" ht="15.75">
      <c r="A446" s="26"/>
      <c r="D446" s="118"/>
      <c r="F446" s="283"/>
      <c r="G446" s="284"/>
      <c r="H446" s="169"/>
      <c r="I446" s="285"/>
    </row>
    <row r="447" spans="1:9" ht="15.75">
      <c r="A447" s="26"/>
      <c r="D447" s="118"/>
      <c r="F447" s="283"/>
      <c r="G447" s="284"/>
      <c r="H447" s="169"/>
      <c r="I447" s="285"/>
    </row>
    <row r="448" spans="1:9" ht="15.75">
      <c r="A448" s="26"/>
      <c r="D448" s="118"/>
      <c r="F448" s="283"/>
      <c r="G448" s="284"/>
      <c r="H448" s="169"/>
      <c r="I448" s="285"/>
    </row>
    <row r="449" spans="1:9" ht="15.75">
      <c r="A449" s="26"/>
      <c r="D449" s="118"/>
      <c r="F449" s="283"/>
      <c r="G449" s="284"/>
      <c r="H449" s="169"/>
      <c r="I449" s="285"/>
    </row>
    <row r="450" spans="1:9" ht="15.75">
      <c r="A450" s="26"/>
      <c r="D450" s="118"/>
      <c r="F450" s="283"/>
      <c r="G450" s="284"/>
      <c r="H450" s="169"/>
      <c r="I450" s="285"/>
    </row>
    <row r="451" spans="1:9" ht="15.75">
      <c r="A451" s="26"/>
      <c r="D451" s="118"/>
      <c r="F451" s="283"/>
      <c r="G451" s="284"/>
      <c r="H451" s="169"/>
      <c r="I451" s="285"/>
    </row>
    <row r="452" spans="1:9" ht="15.75">
      <c r="A452" s="26"/>
      <c r="D452" s="118"/>
      <c r="F452" s="283"/>
      <c r="G452" s="284"/>
      <c r="H452" s="169"/>
      <c r="I452" s="285"/>
    </row>
    <row r="453" spans="1:9" ht="15.75">
      <c r="A453" s="26"/>
      <c r="D453" s="118"/>
      <c r="F453" s="283"/>
      <c r="G453" s="284"/>
      <c r="H453" s="169"/>
      <c r="I453" s="285"/>
    </row>
    <row r="454" spans="1:9" ht="15.75">
      <c r="A454" s="26"/>
      <c r="D454" s="118"/>
      <c r="F454" s="283"/>
      <c r="G454" s="284"/>
      <c r="H454" s="169"/>
      <c r="I454" s="285"/>
    </row>
    <row r="455" spans="1:9" ht="15.75">
      <c r="A455" s="26"/>
      <c r="D455" s="118"/>
      <c r="F455" s="283"/>
      <c r="G455" s="284"/>
      <c r="H455" s="169"/>
      <c r="I455" s="285"/>
    </row>
    <row r="456" spans="1:9" ht="15.75">
      <c r="A456" s="26"/>
      <c r="D456" s="118"/>
      <c r="F456" s="283"/>
      <c r="G456" s="284"/>
      <c r="H456" s="169"/>
      <c r="I456" s="285"/>
    </row>
    <row r="457" spans="1:9" ht="15.75">
      <c r="A457" s="26"/>
      <c r="D457" s="118"/>
      <c r="F457" s="283"/>
      <c r="G457" s="284"/>
      <c r="H457" s="169"/>
      <c r="I457" s="285"/>
    </row>
    <row r="458" spans="1:9" ht="15.75">
      <c r="A458" s="26"/>
      <c r="D458" s="118"/>
      <c r="F458" s="283"/>
      <c r="G458" s="284"/>
      <c r="H458" s="169"/>
      <c r="I458" s="285"/>
    </row>
    <row r="459" spans="1:9" ht="15.75">
      <c r="A459" s="26"/>
      <c r="D459" s="118"/>
      <c r="F459" s="283"/>
      <c r="G459" s="284"/>
      <c r="H459" s="169"/>
      <c r="I459" s="285"/>
    </row>
    <row r="460" spans="1:9" ht="15.75">
      <c r="A460" s="26"/>
      <c r="D460" s="118"/>
      <c r="F460" s="283"/>
      <c r="G460" s="284"/>
      <c r="H460" s="169"/>
      <c r="I460" s="285"/>
    </row>
    <row r="461" spans="1:9" ht="15.75">
      <c r="A461" s="26"/>
      <c r="D461" s="118"/>
      <c r="F461" s="283"/>
      <c r="G461" s="284"/>
      <c r="H461" s="169"/>
      <c r="I461" s="285"/>
    </row>
    <row r="462" spans="1:9" ht="15.75">
      <c r="A462" s="26"/>
      <c r="D462" s="118"/>
      <c r="F462" s="283"/>
      <c r="G462" s="284"/>
      <c r="H462" s="169"/>
      <c r="I462" s="285"/>
    </row>
    <row r="463" spans="1:9" ht="15.75">
      <c r="A463" s="26"/>
      <c r="D463" s="118"/>
      <c r="F463" s="283"/>
      <c r="G463" s="284"/>
      <c r="H463" s="169"/>
      <c r="I463" s="285"/>
    </row>
    <row r="464" spans="1:9" ht="15.75">
      <c r="A464" s="26"/>
      <c r="D464" s="118"/>
      <c r="F464" s="283"/>
      <c r="G464" s="284"/>
      <c r="H464" s="169"/>
      <c r="I464" s="285"/>
    </row>
    <row r="465" spans="1:9" ht="15.75">
      <c r="A465" s="26"/>
      <c r="D465" s="118"/>
      <c r="F465" s="283"/>
      <c r="G465" s="284"/>
      <c r="H465" s="169"/>
      <c r="I465" s="285"/>
    </row>
    <row r="466" spans="1:9" ht="15.75">
      <c r="A466" s="26"/>
      <c r="D466" s="118"/>
      <c r="F466" s="283"/>
      <c r="G466" s="284"/>
      <c r="H466" s="169"/>
      <c r="I466" s="285"/>
    </row>
    <row r="467" spans="1:9" ht="15.75">
      <c r="A467" s="26"/>
      <c r="D467" s="118"/>
      <c r="F467" s="283"/>
      <c r="G467" s="284"/>
      <c r="H467" s="169"/>
      <c r="I467" s="285"/>
    </row>
    <row r="468" spans="1:9" ht="15.75">
      <c r="A468" s="26"/>
      <c r="D468" s="118"/>
      <c r="F468" s="283"/>
      <c r="G468" s="284"/>
      <c r="H468" s="169"/>
      <c r="I468" s="285"/>
    </row>
    <row r="469" spans="1:9" ht="15.75">
      <c r="A469" s="26"/>
      <c r="D469" s="118"/>
      <c r="F469" s="283"/>
      <c r="G469" s="284"/>
      <c r="H469" s="169"/>
      <c r="I469" s="285"/>
    </row>
    <row r="470" spans="1:9" ht="15.75">
      <c r="A470" s="26"/>
      <c r="D470" s="118"/>
      <c r="F470" s="283"/>
      <c r="G470" s="284"/>
      <c r="H470" s="169"/>
      <c r="I470" s="285"/>
    </row>
    <row r="471" spans="1:9" ht="15.75">
      <c r="A471" s="26"/>
      <c r="D471" s="118"/>
      <c r="F471" s="283"/>
      <c r="G471" s="284"/>
      <c r="H471" s="169"/>
      <c r="I471" s="285"/>
    </row>
    <row r="472" spans="1:9" ht="15.75">
      <c r="A472" s="26"/>
      <c r="D472" s="118"/>
      <c r="F472" s="283"/>
      <c r="G472" s="284"/>
      <c r="H472" s="169"/>
      <c r="I472" s="285"/>
    </row>
    <row r="473" spans="1:9" ht="15.75">
      <c r="A473" s="26"/>
      <c r="D473" s="118"/>
      <c r="F473" s="283"/>
      <c r="G473" s="284"/>
      <c r="H473" s="169"/>
      <c r="I473" s="285"/>
    </row>
    <row r="474" spans="1:9" ht="15.75">
      <c r="A474" s="26"/>
      <c r="D474" s="118"/>
      <c r="F474" s="283"/>
      <c r="G474" s="284"/>
      <c r="H474" s="169"/>
      <c r="I474" s="285"/>
    </row>
    <row r="475" spans="1:9" ht="15.75">
      <c r="A475" s="26"/>
      <c r="D475" s="118"/>
      <c r="F475" s="283"/>
      <c r="G475" s="284"/>
      <c r="H475" s="169"/>
      <c r="I475" s="285"/>
    </row>
    <row r="476" spans="1:9" ht="15.75">
      <c r="A476" s="26"/>
      <c r="D476" s="118"/>
      <c r="F476" s="283"/>
      <c r="G476" s="284"/>
      <c r="H476" s="169"/>
      <c r="I476" s="285"/>
    </row>
    <row r="477" spans="1:9" ht="15.75">
      <c r="A477" s="26"/>
      <c r="D477" s="118"/>
      <c r="F477" s="283"/>
      <c r="G477" s="284"/>
      <c r="H477" s="169"/>
      <c r="I477" s="285"/>
    </row>
    <row r="478" spans="1:9" ht="15.75">
      <c r="A478" s="26"/>
      <c r="D478" s="118"/>
      <c r="F478" s="283"/>
      <c r="G478" s="284"/>
      <c r="H478" s="169"/>
      <c r="I478" s="285"/>
    </row>
    <row r="479" spans="1:9" ht="15.75">
      <c r="A479" s="26"/>
      <c r="D479" s="118"/>
      <c r="F479" s="283"/>
      <c r="G479" s="284"/>
      <c r="H479" s="169"/>
      <c r="I479" s="285"/>
    </row>
    <row r="480" spans="1:9" ht="15.75">
      <c r="A480" s="26"/>
      <c r="D480" s="118"/>
      <c r="F480" s="283"/>
      <c r="G480" s="284"/>
      <c r="H480" s="169"/>
      <c r="I480" s="285"/>
    </row>
    <row r="481" spans="1:9" ht="15.75">
      <c r="A481" s="26"/>
      <c r="D481" s="118"/>
      <c r="F481" s="283"/>
      <c r="G481" s="284"/>
      <c r="H481" s="169"/>
      <c r="I481" s="285"/>
    </row>
    <row r="482" spans="1:9" ht="15.75">
      <c r="A482" s="26"/>
      <c r="D482" s="118"/>
      <c r="F482" s="283"/>
      <c r="G482" s="284"/>
      <c r="H482" s="169"/>
      <c r="I482" s="285"/>
    </row>
    <row r="483" spans="1:9" ht="15.75">
      <c r="A483" s="26"/>
      <c r="D483" s="118"/>
      <c r="F483" s="283"/>
      <c r="G483" s="284"/>
      <c r="H483" s="169"/>
      <c r="I483" s="285"/>
    </row>
    <row r="484" spans="1:9" ht="15.75">
      <c r="A484" s="26"/>
      <c r="D484" s="118"/>
      <c r="F484" s="283"/>
      <c r="G484" s="284"/>
      <c r="H484" s="169"/>
      <c r="I484" s="285"/>
    </row>
    <row r="485" spans="1:9" ht="15.75">
      <c r="A485" s="26"/>
      <c r="D485" s="118"/>
      <c r="F485" s="283"/>
      <c r="G485" s="284"/>
      <c r="H485" s="169"/>
      <c r="I485" s="285"/>
    </row>
    <row r="486" spans="1:9" ht="15.75">
      <c r="A486" s="26"/>
      <c r="D486" s="118"/>
      <c r="F486" s="283"/>
      <c r="G486" s="284"/>
      <c r="H486" s="169"/>
      <c r="I486" s="285"/>
    </row>
    <row r="487" spans="1:9" ht="15.75">
      <c r="A487" s="26"/>
      <c r="D487" s="118"/>
      <c r="F487" s="283"/>
      <c r="G487" s="284"/>
      <c r="H487" s="169"/>
      <c r="I487" s="285"/>
    </row>
    <row r="488" spans="1:9" ht="15.75">
      <c r="A488" s="26"/>
      <c r="D488" s="118"/>
      <c r="F488" s="283"/>
      <c r="G488" s="284"/>
      <c r="H488" s="169"/>
      <c r="I488" s="285"/>
    </row>
    <row r="489" spans="1:9" ht="15.75">
      <c r="A489" s="26"/>
      <c r="D489" s="118"/>
      <c r="F489" s="283"/>
      <c r="G489" s="284"/>
      <c r="H489" s="169"/>
      <c r="I489" s="285"/>
    </row>
    <row r="490" spans="1:9" ht="15.75">
      <c r="A490" s="26"/>
      <c r="D490" s="118"/>
      <c r="F490" s="283"/>
      <c r="G490" s="284"/>
      <c r="H490" s="169"/>
      <c r="I490" s="285"/>
    </row>
    <row r="491" spans="1:9" ht="15.75">
      <c r="A491" s="26"/>
      <c r="D491" s="118"/>
      <c r="F491" s="283"/>
      <c r="G491" s="284"/>
      <c r="H491" s="169"/>
      <c r="I491" s="285"/>
    </row>
    <row r="492" spans="1:9" ht="15.75">
      <c r="A492" s="26"/>
      <c r="D492" s="118"/>
      <c r="F492" s="283"/>
      <c r="G492" s="284"/>
      <c r="H492" s="169"/>
      <c r="I492" s="285"/>
    </row>
    <row r="493" spans="1:9" ht="15.75">
      <c r="A493" s="26"/>
      <c r="D493" s="118"/>
      <c r="F493" s="283"/>
      <c r="G493" s="284"/>
      <c r="H493" s="169"/>
      <c r="I493" s="285"/>
    </row>
    <row r="494" spans="1:9" ht="15.75">
      <c r="A494" s="26"/>
      <c r="D494" s="118"/>
      <c r="F494" s="283"/>
      <c r="G494" s="284"/>
      <c r="H494" s="169"/>
      <c r="I494" s="285"/>
    </row>
    <row r="495" spans="1:9" ht="15.75">
      <c r="A495" s="26"/>
      <c r="D495" s="118"/>
      <c r="F495" s="283"/>
      <c r="G495" s="284"/>
      <c r="H495" s="169"/>
      <c r="I495" s="285"/>
    </row>
    <row r="496" spans="1:9" ht="15.75">
      <c r="A496" s="26"/>
      <c r="D496" s="118"/>
      <c r="F496" s="283"/>
      <c r="G496" s="284"/>
      <c r="H496" s="169"/>
      <c r="I496" s="285"/>
    </row>
    <row r="497" spans="1:9" ht="15.75">
      <c r="A497" s="26"/>
      <c r="D497" s="118"/>
      <c r="F497" s="283"/>
      <c r="G497" s="284"/>
      <c r="H497" s="169"/>
      <c r="I497" s="285"/>
    </row>
    <row r="498" spans="1:9" ht="15.75">
      <c r="A498" s="26"/>
      <c r="D498" s="118"/>
      <c r="F498" s="283"/>
      <c r="G498" s="284"/>
      <c r="H498" s="169"/>
      <c r="I498" s="285"/>
    </row>
    <row r="499" spans="1:9" ht="15.75">
      <c r="A499" s="26"/>
      <c r="D499" s="118"/>
      <c r="F499" s="283"/>
      <c r="G499" s="284"/>
      <c r="H499" s="169"/>
      <c r="I499" s="285"/>
    </row>
    <row r="500" spans="1:9" ht="15.75">
      <c r="A500" s="26"/>
      <c r="D500" s="118"/>
      <c r="F500" s="283"/>
      <c r="G500" s="284"/>
      <c r="H500" s="169"/>
      <c r="I500" s="285"/>
    </row>
    <row r="501" spans="1:9" ht="15.75">
      <c r="A501" s="26"/>
      <c r="D501" s="118"/>
      <c r="F501" s="283"/>
      <c r="G501" s="284"/>
      <c r="H501" s="169"/>
      <c r="I501" s="285"/>
    </row>
    <row r="502" spans="1:9" ht="15.75">
      <c r="A502" s="26"/>
      <c r="D502" s="118"/>
      <c r="F502" s="283"/>
      <c r="G502" s="284"/>
      <c r="H502" s="169"/>
      <c r="I502" s="285"/>
    </row>
    <row r="503" spans="1:9" ht="15.75">
      <c r="A503" s="26"/>
      <c r="D503" s="118"/>
      <c r="F503" s="283"/>
      <c r="G503" s="284"/>
      <c r="H503" s="169"/>
      <c r="I503" s="285"/>
    </row>
    <row r="504" spans="1:9" ht="15.75">
      <c r="A504" s="26"/>
      <c r="D504" s="118"/>
      <c r="F504" s="283"/>
      <c r="G504" s="284"/>
      <c r="H504" s="169"/>
      <c r="I504" s="285"/>
    </row>
    <row r="505" spans="1:9" ht="15.75">
      <c r="A505" s="26"/>
      <c r="D505" s="118"/>
      <c r="F505" s="283"/>
      <c r="G505" s="284"/>
      <c r="H505" s="169"/>
      <c r="I505" s="285"/>
    </row>
    <row r="506" spans="1:9" ht="15.75">
      <c r="A506" s="26"/>
      <c r="D506" s="118"/>
      <c r="F506" s="283"/>
      <c r="G506" s="284"/>
      <c r="H506" s="169"/>
      <c r="I506" s="285"/>
    </row>
    <row r="507" spans="1:9" ht="15.75">
      <c r="A507" s="26"/>
      <c r="D507" s="118"/>
      <c r="F507" s="283"/>
      <c r="G507" s="284"/>
      <c r="H507" s="169"/>
      <c r="I507" s="285"/>
    </row>
    <row r="508" spans="1:9" ht="15.75">
      <c r="A508" s="26"/>
      <c r="D508" s="118"/>
      <c r="F508" s="283"/>
      <c r="G508" s="284"/>
      <c r="H508" s="169"/>
      <c r="I508" s="285"/>
    </row>
    <row r="509" spans="1:9" ht="15.75">
      <c r="A509" s="26"/>
      <c r="D509" s="118"/>
      <c r="F509" s="283"/>
      <c r="G509" s="284"/>
      <c r="H509" s="169"/>
      <c r="I509" s="285"/>
    </row>
    <row r="510" spans="1:9" ht="15.75">
      <c r="A510" s="26"/>
      <c r="D510" s="118"/>
      <c r="F510" s="283"/>
      <c r="G510" s="284"/>
      <c r="H510" s="169"/>
      <c r="I510" s="285"/>
    </row>
    <row r="511" spans="1:9" ht="15.75">
      <c r="A511" s="26"/>
      <c r="D511" s="118"/>
      <c r="F511" s="283"/>
      <c r="G511" s="284"/>
      <c r="H511" s="169"/>
      <c r="I511" s="285"/>
    </row>
    <row r="512" spans="1:9" ht="15.75">
      <c r="A512" s="26"/>
      <c r="D512" s="118"/>
      <c r="F512" s="283"/>
      <c r="G512" s="284"/>
      <c r="H512" s="169"/>
      <c r="I512" s="285"/>
    </row>
    <row r="513" spans="1:9" ht="15.75">
      <c r="A513" s="26"/>
      <c r="D513" s="118"/>
      <c r="F513" s="283"/>
      <c r="G513" s="284"/>
      <c r="H513" s="169"/>
      <c r="I513" s="285"/>
    </row>
    <row r="514" spans="1:9" ht="15.75">
      <c r="A514" s="26"/>
      <c r="D514" s="118"/>
      <c r="F514" s="283"/>
      <c r="G514" s="284"/>
      <c r="H514" s="169"/>
      <c r="I514" s="285"/>
    </row>
    <row r="515" spans="1:9" ht="15.75">
      <c r="A515" s="26"/>
      <c r="D515" s="118"/>
      <c r="F515" s="283"/>
      <c r="G515" s="284"/>
      <c r="H515" s="169"/>
      <c r="I515" s="285"/>
    </row>
    <row r="516" spans="1:9" ht="15.75">
      <c r="A516" s="26"/>
      <c r="D516" s="118"/>
      <c r="F516" s="283"/>
      <c r="G516" s="284"/>
      <c r="H516" s="169"/>
      <c r="I516" s="285"/>
    </row>
    <row r="517" spans="1:9" ht="15.75">
      <c r="A517" s="26"/>
      <c r="D517" s="118"/>
      <c r="F517" s="283"/>
      <c r="G517" s="284"/>
      <c r="H517" s="169"/>
      <c r="I517" s="285"/>
    </row>
    <row r="518" spans="1:9" ht="15.75">
      <c r="A518" s="26"/>
      <c r="D518" s="118"/>
      <c r="F518" s="283"/>
      <c r="G518" s="284"/>
      <c r="H518" s="169"/>
      <c r="I518" s="285"/>
    </row>
    <row r="519" spans="1:9" ht="15.75">
      <c r="A519" s="26"/>
      <c r="D519" s="118"/>
      <c r="F519" s="283"/>
      <c r="G519" s="284"/>
      <c r="H519" s="169"/>
      <c r="I519" s="285"/>
    </row>
    <row r="520" spans="1:9" ht="15.75">
      <c r="A520" s="26"/>
      <c r="D520" s="118"/>
      <c r="F520" s="283"/>
      <c r="G520" s="284"/>
      <c r="H520" s="169"/>
      <c r="I520" s="285"/>
    </row>
    <row r="521" spans="1:9" ht="15.75">
      <c r="A521" s="26"/>
      <c r="D521" s="118"/>
      <c r="F521" s="283"/>
      <c r="G521" s="284"/>
      <c r="H521" s="169"/>
      <c r="I521" s="285"/>
    </row>
    <row r="522" spans="1:9" ht="15.75">
      <c r="A522" s="26"/>
      <c r="D522" s="118"/>
      <c r="F522" s="283"/>
      <c r="G522" s="284"/>
      <c r="H522" s="169"/>
      <c r="I522" s="285"/>
    </row>
    <row r="523" spans="1:9" ht="15.75">
      <c r="A523" s="26"/>
      <c r="D523" s="118"/>
      <c r="F523" s="283"/>
      <c r="G523" s="284"/>
      <c r="H523" s="169"/>
      <c r="I523" s="285"/>
    </row>
    <row r="524" spans="1:9" ht="15.75">
      <c r="A524" s="26"/>
      <c r="D524" s="118"/>
      <c r="F524" s="283"/>
      <c r="G524" s="284"/>
      <c r="H524" s="169"/>
      <c r="I524" s="285"/>
    </row>
    <row r="525" spans="1:9" ht="15.75">
      <c r="A525" s="26"/>
      <c r="D525" s="118"/>
      <c r="F525" s="283"/>
      <c r="G525" s="284"/>
      <c r="H525" s="169"/>
      <c r="I525" s="285"/>
    </row>
    <row r="526" spans="1:9" ht="15.75">
      <c r="A526" s="26"/>
      <c r="D526" s="118"/>
      <c r="F526" s="283"/>
      <c r="G526" s="284"/>
      <c r="H526" s="169"/>
      <c r="I526" s="285"/>
    </row>
    <row r="527" spans="1:9" ht="15.75">
      <c r="A527" s="26"/>
      <c r="D527" s="118"/>
      <c r="F527" s="283"/>
      <c r="G527" s="284"/>
      <c r="H527" s="169"/>
      <c r="I527" s="285"/>
    </row>
    <row r="528" spans="1:9" ht="15.75">
      <c r="A528" s="26"/>
      <c r="D528" s="118"/>
      <c r="F528" s="283"/>
      <c r="G528" s="284"/>
      <c r="H528" s="169"/>
      <c r="I528" s="285"/>
    </row>
    <row r="529" spans="1:9" ht="15.75">
      <c r="A529" s="26"/>
      <c r="D529" s="118"/>
      <c r="F529" s="283"/>
      <c r="G529" s="284"/>
      <c r="H529" s="169"/>
      <c r="I529" s="285"/>
    </row>
    <row r="530" spans="1:9" ht="15.75">
      <c r="A530" s="26"/>
      <c r="D530" s="118"/>
      <c r="F530" s="283"/>
      <c r="G530" s="284"/>
      <c r="H530" s="169"/>
      <c r="I530" s="285"/>
    </row>
    <row r="531" spans="1:9" ht="15.75">
      <c r="A531" s="26"/>
      <c r="D531" s="118"/>
      <c r="F531" s="283"/>
      <c r="G531" s="284"/>
      <c r="H531" s="169"/>
      <c r="I531" s="285"/>
    </row>
    <row r="532" spans="1:9" ht="15.75">
      <c r="A532" s="26"/>
      <c r="D532" s="118"/>
      <c r="F532" s="283"/>
      <c r="G532" s="284"/>
      <c r="H532" s="169"/>
      <c r="I532" s="285"/>
    </row>
    <row r="533" spans="1:9" ht="15.75">
      <c r="A533" s="26"/>
      <c r="D533" s="118"/>
      <c r="F533" s="283"/>
      <c r="G533" s="284"/>
      <c r="H533" s="169"/>
      <c r="I533" s="285"/>
    </row>
    <row r="534" spans="1:9" ht="15.75">
      <c r="A534" s="26"/>
      <c r="D534" s="118"/>
      <c r="F534" s="283"/>
      <c r="G534" s="284"/>
      <c r="H534" s="169"/>
      <c r="I534" s="285"/>
    </row>
    <row r="535" spans="1:9" ht="15.75">
      <c r="A535" s="26"/>
      <c r="D535" s="118"/>
      <c r="F535" s="283"/>
      <c r="G535" s="284"/>
      <c r="H535" s="169"/>
      <c r="I535" s="285"/>
    </row>
    <row r="536" spans="1:9" ht="15.75">
      <c r="A536" s="26"/>
      <c r="D536" s="118"/>
      <c r="F536" s="283"/>
      <c r="G536" s="284"/>
      <c r="H536" s="169"/>
      <c r="I536" s="285"/>
    </row>
    <row r="537" spans="1:9" ht="15.75">
      <c r="A537" s="26"/>
      <c r="D537" s="118"/>
      <c r="F537" s="283"/>
      <c r="G537" s="284"/>
      <c r="H537" s="169"/>
      <c r="I537" s="285"/>
    </row>
    <row r="538" spans="1:9" ht="15.75">
      <c r="A538" s="26"/>
      <c r="D538" s="118"/>
      <c r="F538" s="283"/>
      <c r="G538" s="284"/>
      <c r="H538" s="169"/>
      <c r="I538" s="285"/>
    </row>
    <row r="539" spans="1:9" ht="15.75">
      <c r="A539" s="26"/>
      <c r="D539" s="118"/>
      <c r="F539" s="283"/>
      <c r="G539" s="284"/>
      <c r="H539" s="169"/>
      <c r="I539" s="285"/>
    </row>
    <row r="540" spans="1:9" ht="15.75">
      <c r="A540" s="26"/>
      <c r="D540" s="118"/>
      <c r="F540" s="283"/>
      <c r="G540" s="284"/>
      <c r="H540" s="169"/>
      <c r="I540" s="285"/>
    </row>
    <row r="541" spans="1:9" ht="15.75">
      <c r="A541" s="26"/>
      <c r="D541" s="118"/>
      <c r="F541" s="283"/>
      <c r="G541" s="284"/>
      <c r="H541" s="169"/>
      <c r="I541" s="285"/>
    </row>
    <row r="542" spans="1:9" ht="15.75">
      <c r="A542" s="26"/>
      <c r="D542" s="118"/>
      <c r="F542" s="283"/>
      <c r="G542" s="284"/>
      <c r="H542" s="169"/>
      <c r="I542" s="285"/>
    </row>
    <row r="543" spans="1:9" ht="15.75">
      <c r="A543" s="26"/>
      <c r="D543" s="118"/>
      <c r="F543" s="283"/>
      <c r="G543" s="284"/>
      <c r="H543" s="169"/>
      <c r="I543" s="285"/>
    </row>
    <row r="544" spans="1:9" ht="15.75">
      <c r="A544" s="26"/>
      <c r="D544" s="118"/>
      <c r="F544" s="283"/>
      <c r="G544" s="284"/>
      <c r="H544" s="169"/>
      <c r="I544" s="285"/>
    </row>
    <row r="545" spans="1:9" ht="15.75">
      <c r="A545" s="26"/>
      <c r="D545" s="118"/>
      <c r="F545" s="283"/>
      <c r="G545" s="284"/>
      <c r="H545" s="169"/>
      <c r="I545" s="285"/>
    </row>
    <row r="546" spans="1:9" ht="15.75">
      <c r="A546" s="26"/>
      <c r="D546" s="118"/>
      <c r="F546" s="283"/>
      <c r="G546" s="284"/>
      <c r="H546" s="169"/>
      <c r="I546" s="285"/>
    </row>
    <row r="547" spans="1:9" ht="15.75">
      <c r="A547" s="26"/>
      <c r="D547" s="118"/>
      <c r="F547" s="283"/>
      <c r="G547" s="284"/>
      <c r="H547" s="169"/>
      <c r="I547" s="285"/>
    </row>
    <row r="548" spans="1:9" ht="15.75">
      <c r="A548" s="26"/>
      <c r="D548" s="118"/>
      <c r="F548" s="283"/>
      <c r="G548" s="284"/>
      <c r="H548" s="169"/>
      <c r="I548" s="285"/>
    </row>
    <row r="549" spans="1:9" ht="15.75">
      <c r="A549" s="26"/>
      <c r="D549" s="118"/>
      <c r="F549" s="283"/>
      <c r="G549" s="284"/>
      <c r="H549" s="169"/>
      <c r="I549" s="285"/>
    </row>
    <row r="550" spans="1:9" ht="15.75">
      <c r="A550" s="26"/>
      <c r="D550" s="118"/>
      <c r="F550" s="283"/>
      <c r="G550" s="284"/>
      <c r="H550" s="169"/>
      <c r="I550" s="285"/>
    </row>
    <row r="551" spans="1:9" ht="15.75">
      <c r="A551" s="26"/>
      <c r="D551" s="118"/>
      <c r="F551" s="283"/>
      <c r="G551" s="284"/>
      <c r="H551" s="169"/>
      <c r="I551" s="285"/>
    </row>
    <row r="552" spans="1:9" ht="15.75">
      <c r="A552" s="26"/>
      <c r="D552" s="118"/>
      <c r="F552" s="283"/>
      <c r="G552" s="284"/>
      <c r="H552" s="169"/>
      <c r="I552" s="285"/>
    </row>
    <row r="553" spans="1:9" ht="15.75">
      <c r="A553" s="26"/>
      <c r="D553" s="118"/>
      <c r="F553" s="283"/>
      <c r="G553" s="284"/>
      <c r="H553" s="169"/>
      <c r="I553" s="285"/>
    </row>
    <row r="554" spans="1:9" ht="15.75">
      <c r="A554" s="26"/>
      <c r="D554" s="118"/>
      <c r="F554" s="283"/>
      <c r="G554" s="284"/>
      <c r="H554" s="169"/>
      <c r="I554" s="285"/>
    </row>
    <row r="555" spans="1:9" ht="15.75">
      <c r="A555" s="26"/>
      <c r="D555" s="118"/>
      <c r="F555" s="283"/>
      <c r="G555" s="284"/>
      <c r="H555" s="169"/>
      <c r="I555" s="285"/>
    </row>
    <row r="556" spans="1:9" ht="15.75">
      <c r="A556" s="26"/>
      <c r="D556" s="118"/>
      <c r="F556" s="283"/>
      <c r="G556" s="284"/>
      <c r="H556" s="169"/>
      <c r="I556" s="285"/>
    </row>
    <row r="557" spans="1:9" ht="15.75">
      <c r="A557" s="26"/>
      <c r="D557" s="118"/>
      <c r="F557" s="283"/>
      <c r="G557" s="284"/>
      <c r="H557" s="169"/>
      <c r="I557" s="285"/>
    </row>
    <row r="558" spans="1:9" ht="15.75">
      <c r="A558" s="26"/>
      <c r="D558" s="118"/>
      <c r="F558" s="283"/>
      <c r="G558" s="284"/>
      <c r="H558" s="169"/>
      <c r="I558" s="285"/>
    </row>
    <row r="559" spans="1:9" ht="15.75">
      <c r="A559" s="26"/>
      <c r="D559" s="118"/>
      <c r="F559" s="283"/>
      <c r="G559" s="284"/>
      <c r="H559" s="169"/>
      <c r="I559" s="285"/>
    </row>
    <row r="560" spans="1:9" ht="15.75">
      <c r="A560" s="26"/>
      <c r="D560" s="118"/>
      <c r="F560" s="283"/>
      <c r="G560" s="284"/>
      <c r="H560" s="169"/>
      <c r="I560" s="285"/>
    </row>
    <row r="561" spans="1:9" ht="15.75">
      <c r="A561" s="26"/>
      <c r="D561" s="118"/>
      <c r="F561" s="283"/>
      <c r="G561" s="284"/>
      <c r="H561" s="169"/>
      <c r="I561" s="285"/>
    </row>
    <row r="562" spans="1:9" ht="15.75">
      <c r="A562" s="26"/>
      <c r="D562" s="118"/>
      <c r="F562" s="283"/>
      <c r="G562" s="284"/>
      <c r="H562" s="169"/>
      <c r="I562" s="285"/>
    </row>
    <row r="563" spans="1:9" ht="15.75">
      <c r="A563" s="26"/>
      <c r="D563" s="118"/>
      <c r="F563" s="283"/>
      <c r="G563" s="284"/>
      <c r="H563" s="169"/>
      <c r="I563" s="285"/>
    </row>
    <row r="564" spans="1:9" ht="15.75">
      <c r="A564" s="26"/>
      <c r="D564" s="118"/>
      <c r="F564" s="283"/>
      <c r="G564" s="284"/>
      <c r="H564" s="169"/>
      <c r="I564" s="285"/>
    </row>
    <row r="565" spans="1:9" ht="15.75">
      <c r="A565" s="26"/>
      <c r="D565" s="118"/>
      <c r="F565" s="283"/>
      <c r="G565" s="284"/>
      <c r="H565" s="169"/>
      <c r="I565" s="285"/>
    </row>
    <row r="566" spans="1:9" ht="15.75">
      <c r="A566" s="26"/>
      <c r="D566" s="118"/>
      <c r="F566" s="283"/>
      <c r="G566" s="284"/>
      <c r="H566" s="169"/>
      <c r="I566" s="285"/>
    </row>
    <row r="567" spans="1:9" ht="15.75">
      <c r="A567" s="26"/>
      <c r="D567" s="118"/>
      <c r="F567" s="283"/>
      <c r="G567" s="284"/>
      <c r="H567" s="169"/>
      <c r="I567" s="285"/>
    </row>
    <row r="568" spans="1:9" ht="15.75">
      <c r="A568" s="26"/>
      <c r="D568" s="118"/>
      <c r="F568" s="283"/>
      <c r="G568" s="284"/>
      <c r="H568" s="169"/>
      <c r="I568" s="285"/>
    </row>
    <row r="569" spans="1:9" ht="15.75">
      <c r="A569" s="26"/>
      <c r="D569" s="118"/>
      <c r="F569" s="283"/>
      <c r="G569" s="284"/>
      <c r="H569" s="169"/>
      <c r="I569" s="285"/>
    </row>
    <row r="570" spans="1:9" ht="15.75">
      <c r="A570" s="26"/>
      <c r="D570" s="118"/>
      <c r="F570" s="283"/>
      <c r="G570" s="284"/>
      <c r="H570" s="169"/>
      <c r="I570" s="285"/>
    </row>
    <row r="571" spans="1:9" ht="15.75">
      <c r="A571" s="26"/>
      <c r="D571" s="118"/>
      <c r="F571" s="283"/>
      <c r="G571" s="284"/>
      <c r="H571" s="169"/>
      <c r="I571" s="285"/>
    </row>
    <row r="572" spans="1:9" ht="15.75">
      <c r="A572" s="26"/>
      <c r="D572" s="118"/>
      <c r="F572" s="283"/>
      <c r="G572" s="284"/>
      <c r="H572" s="169"/>
      <c r="I572" s="285"/>
    </row>
    <row r="573" spans="1:9" ht="15.75">
      <c r="A573" s="26"/>
      <c r="D573" s="118"/>
      <c r="F573" s="283"/>
      <c r="G573" s="284"/>
      <c r="H573" s="169"/>
      <c r="I573" s="285"/>
    </row>
    <row r="574" spans="1:9" ht="15.75">
      <c r="A574" s="26"/>
      <c r="D574" s="118"/>
      <c r="F574" s="283"/>
      <c r="G574" s="284"/>
      <c r="H574" s="169"/>
      <c r="I574" s="285"/>
    </row>
    <row r="575" spans="1:9" ht="15.75">
      <c r="A575" s="26"/>
      <c r="D575" s="118"/>
      <c r="F575" s="283"/>
      <c r="G575" s="284"/>
      <c r="H575" s="169"/>
      <c r="I575" s="285"/>
    </row>
    <row r="576" spans="1:9" ht="15.75">
      <c r="A576" s="26"/>
      <c r="D576" s="118"/>
      <c r="F576" s="283"/>
      <c r="G576" s="284"/>
      <c r="H576" s="169"/>
      <c r="I576" s="285"/>
    </row>
    <row r="577" spans="1:9" ht="15.75">
      <c r="A577" s="26"/>
      <c r="D577" s="118"/>
      <c r="F577" s="283"/>
      <c r="G577" s="284"/>
      <c r="H577" s="169"/>
      <c r="I577" s="285"/>
    </row>
    <row r="578" spans="1:9" ht="15.75">
      <c r="A578" s="26"/>
      <c r="D578" s="118"/>
      <c r="F578" s="283"/>
      <c r="G578" s="284"/>
      <c r="H578" s="169"/>
      <c r="I578" s="285"/>
    </row>
    <row r="579" spans="1:9" ht="15.75">
      <c r="A579" s="26"/>
      <c r="D579" s="118"/>
      <c r="F579" s="283"/>
      <c r="G579" s="284"/>
      <c r="H579" s="169"/>
      <c r="I579" s="285"/>
    </row>
    <row r="580" spans="1:9" ht="15.75">
      <c r="A580" s="26"/>
      <c r="D580" s="118"/>
      <c r="F580" s="283"/>
      <c r="G580" s="284"/>
      <c r="H580" s="169"/>
      <c r="I580" s="285"/>
    </row>
    <row r="581" spans="1:9" ht="15.75">
      <c r="A581" s="26"/>
      <c r="D581" s="118"/>
      <c r="F581" s="283"/>
      <c r="G581" s="284"/>
      <c r="H581" s="169"/>
      <c r="I581" s="285"/>
    </row>
    <row r="582" spans="1:9" ht="15.75">
      <c r="A582" s="26"/>
      <c r="D582" s="118"/>
      <c r="F582" s="283"/>
      <c r="G582" s="284"/>
      <c r="H582" s="169"/>
      <c r="I582" s="285"/>
    </row>
    <row r="583" spans="1:9" ht="15.75">
      <c r="A583" s="26"/>
      <c r="D583" s="118"/>
      <c r="F583" s="283"/>
      <c r="G583" s="284"/>
      <c r="H583" s="169"/>
      <c r="I583" s="285"/>
    </row>
    <row r="584" spans="1:9" ht="15.75">
      <c r="A584" s="26"/>
      <c r="D584" s="118"/>
      <c r="F584" s="283"/>
      <c r="G584" s="284"/>
      <c r="H584" s="169"/>
      <c r="I584" s="285"/>
    </row>
    <row r="585" spans="1:9" ht="15.75">
      <c r="A585" s="26"/>
      <c r="D585" s="118"/>
      <c r="F585" s="283"/>
      <c r="G585" s="284"/>
      <c r="H585" s="169"/>
      <c r="I585" s="285"/>
    </row>
    <row r="586" spans="1:9" ht="15.75">
      <c r="A586" s="26"/>
      <c r="D586" s="118"/>
      <c r="F586" s="283"/>
      <c r="G586" s="284"/>
      <c r="H586" s="169"/>
      <c r="I586" s="285"/>
    </row>
    <row r="587" spans="1:9" ht="15.75">
      <c r="A587" s="26"/>
      <c r="D587" s="118"/>
      <c r="F587" s="283"/>
      <c r="G587" s="284"/>
      <c r="H587" s="169"/>
      <c r="I587" s="285"/>
    </row>
    <row r="588" spans="1:9" ht="15.75">
      <c r="A588" s="26"/>
      <c r="D588" s="118"/>
      <c r="F588" s="283"/>
      <c r="G588" s="284"/>
      <c r="H588" s="169"/>
      <c r="I588" s="285"/>
    </row>
    <row r="589" spans="1:9" ht="15.75">
      <c r="A589" s="26"/>
      <c r="D589" s="118"/>
      <c r="F589" s="283"/>
      <c r="G589" s="284"/>
      <c r="H589" s="169"/>
      <c r="I589" s="285"/>
    </row>
    <row r="590" spans="1:9" ht="15.75">
      <c r="A590" s="26"/>
      <c r="D590" s="118"/>
      <c r="F590" s="283"/>
      <c r="G590" s="284"/>
      <c r="H590" s="169"/>
      <c r="I590" s="285"/>
    </row>
    <row r="591" spans="1:9" ht="15.75">
      <c r="A591" s="26"/>
      <c r="D591" s="118"/>
      <c r="F591" s="283"/>
      <c r="G591" s="284"/>
      <c r="H591" s="169"/>
      <c r="I591" s="285"/>
    </row>
    <row r="592" spans="1:9" ht="15.75">
      <c r="A592" s="26"/>
      <c r="D592" s="118"/>
      <c r="F592" s="283"/>
      <c r="G592" s="284"/>
      <c r="H592" s="169"/>
      <c r="I592" s="285"/>
    </row>
    <row r="593" spans="1:9" ht="15.75">
      <c r="A593" s="26"/>
      <c r="D593" s="118"/>
      <c r="F593" s="283"/>
      <c r="G593" s="284"/>
      <c r="H593" s="169"/>
      <c r="I593" s="285"/>
    </row>
    <row r="594" spans="1:9" ht="15.75">
      <c r="A594" s="26"/>
      <c r="D594" s="118"/>
      <c r="F594" s="283"/>
      <c r="G594" s="284"/>
      <c r="H594" s="169"/>
      <c r="I594" s="285"/>
    </row>
    <row r="595" spans="1:9" ht="15.75">
      <c r="A595" s="26"/>
      <c r="D595" s="118"/>
      <c r="F595" s="283"/>
      <c r="G595" s="284"/>
      <c r="H595" s="169"/>
      <c r="I595" s="285"/>
    </row>
    <row r="596" spans="1:9" ht="15.75">
      <c r="A596" s="26"/>
      <c r="D596" s="118"/>
      <c r="F596" s="283"/>
      <c r="G596" s="284"/>
      <c r="H596" s="169"/>
      <c r="I596" s="285"/>
    </row>
    <row r="597" spans="1:9" ht="15.75">
      <c r="A597" s="26"/>
      <c r="D597" s="118"/>
      <c r="F597" s="283"/>
      <c r="G597" s="284"/>
      <c r="H597" s="169"/>
      <c r="I597" s="285"/>
    </row>
    <row r="598" spans="1:9" ht="15.75">
      <c r="A598" s="26"/>
      <c r="D598" s="118"/>
      <c r="F598" s="283"/>
      <c r="G598" s="284"/>
      <c r="H598" s="169"/>
      <c r="I598" s="285"/>
    </row>
    <row r="599" spans="1:9" ht="15.75">
      <c r="A599" s="26"/>
      <c r="D599" s="118"/>
      <c r="F599" s="283"/>
      <c r="G599" s="284"/>
      <c r="H599" s="169"/>
      <c r="I599" s="285"/>
    </row>
    <row r="600" spans="1:9" ht="15.75">
      <c r="A600" s="26"/>
      <c r="D600" s="118"/>
      <c r="F600" s="283"/>
      <c r="G600" s="284"/>
      <c r="H600" s="169"/>
      <c r="I600" s="285"/>
    </row>
    <row r="601" spans="1:9" ht="15.75">
      <c r="A601" s="26"/>
      <c r="D601" s="118"/>
      <c r="F601" s="283"/>
      <c r="G601" s="284"/>
      <c r="H601" s="169"/>
      <c r="I601" s="285"/>
    </row>
    <row r="602" spans="1:9" ht="15.75">
      <c r="A602" s="26"/>
      <c r="D602" s="118"/>
      <c r="F602" s="283"/>
      <c r="G602" s="284"/>
      <c r="H602" s="169"/>
      <c r="I602" s="285"/>
    </row>
    <row r="603" spans="1:9" ht="15.75">
      <c r="A603" s="26"/>
      <c r="D603" s="118"/>
      <c r="F603" s="283"/>
      <c r="G603" s="284"/>
      <c r="H603" s="169"/>
      <c r="I603" s="285"/>
    </row>
    <row r="604" spans="1:9" ht="15.75">
      <c r="A604" s="26"/>
      <c r="D604" s="118"/>
      <c r="F604" s="283"/>
      <c r="G604" s="284"/>
      <c r="H604" s="169"/>
      <c r="I604" s="285"/>
    </row>
    <row r="605" spans="1:9" ht="15.75">
      <c r="A605" s="26"/>
      <c r="D605" s="118"/>
      <c r="F605" s="283"/>
      <c r="G605" s="284"/>
      <c r="H605" s="169"/>
      <c r="I605" s="285"/>
    </row>
    <row r="606" spans="1:9" ht="15.75">
      <c r="A606" s="26"/>
      <c r="D606" s="118"/>
      <c r="F606" s="283"/>
      <c r="G606" s="284"/>
      <c r="H606" s="169"/>
      <c r="I606" s="285"/>
    </row>
    <row r="607" spans="1:9" ht="15.75">
      <c r="A607" s="26"/>
      <c r="D607" s="118"/>
      <c r="F607" s="283"/>
      <c r="G607" s="284"/>
      <c r="H607" s="169"/>
      <c r="I607" s="285"/>
    </row>
    <row r="608" spans="1:9" ht="15.75">
      <c r="A608" s="26"/>
      <c r="D608" s="118"/>
      <c r="F608" s="283"/>
      <c r="G608" s="284"/>
      <c r="H608" s="169"/>
      <c r="I608" s="285"/>
    </row>
    <row r="609" spans="1:9" ht="15.75">
      <c r="A609" s="26"/>
      <c r="D609" s="118"/>
      <c r="F609" s="283"/>
      <c r="G609" s="284"/>
      <c r="H609" s="169"/>
      <c r="I609" s="285"/>
    </row>
    <row r="610" spans="1:9" ht="15.75">
      <c r="A610" s="26"/>
      <c r="D610" s="118"/>
      <c r="F610" s="283"/>
      <c r="G610" s="284"/>
      <c r="H610" s="169"/>
      <c r="I610" s="285"/>
    </row>
    <row r="611" spans="1:9" ht="15.75">
      <c r="A611" s="26"/>
      <c r="D611" s="118"/>
      <c r="F611" s="283"/>
      <c r="G611" s="284"/>
      <c r="H611" s="169"/>
      <c r="I611" s="285"/>
    </row>
    <row r="612" spans="1:9" ht="15.75">
      <c r="A612" s="26"/>
      <c r="D612" s="118"/>
      <c r="F612" s="283"/>
      <c r="G612" s="284"/>
      <c r="H612" s="169"/>
      <c r="I612" s="285"/>
    </row>
    <row r="613" spans="1:9" ht="15.75">
      <c r="A613" s="26"/>
      <c r="D613" s="118"/>
      <c r="F613" s="283"/>
      <c r="G613" s="284"/>
      <c r="H613" s="169"/>
      <c r="I613" s="285"/>
    </row>
    <row r="614" spans="1:9" ht="15.75">
      <c r="A614" s="26"/>
      <c r="D614" s="118"/>
      <c r="F614" s="283"/>
      <c r="G614" s="284"/>
      <c r="H614" s="169"/>
      <c r="I614" s="285"/>
    </row>
    <row r="615" spans="1:9" ht="15.75">
      <c r="A615" s="26"/>
      <c r="D615" s="118"/>
      <c r="F615" s="283"/>
      <c r="G615" s="284"/>
      <c r="H615" s="169"/>
      <c r="I615" s="285"/>
    </row>
    <row r="616" spans="1:9" ht="15.75">
      <c r="A616" s="26"/>
      <c r="D616" s="118"/>
      <c r="F616" s="283"/>
      <c r="G616" s="284"/>
      <c r="H616" s="169"/>
      <c r="I616" s="285"/>
    </row>
    <row r="617" spans="1:9" ht="15.75">
      <c r="A617" s="26"/>
      <c r="D617" s="118"/>
      <c r="F617" s="283"/>
      <c r="G617" s="284"/>
      <c r="H617" s="169"/>
      <c r="I617" s="285"/>
    </row>
    <row r="618" spans="1:9" ht="15.75">
      <c r="A618" s="26"/>
      <c r="D618" s="118"/>
      <c r="F618" s="283"/>
      <c r="G618" s="284"/>
      <c r="H618" s="169"/>
      <c r="I618" s="285"/>
    </row>
    <row r="619" spans="1:9" ht="15.75">
      <c r="A619" s="26"/>
      <c r="D619" s="118"/>
      <c r="F619" s="283"/>
      <c r="G619" s="284"/>
      <c r="H619" s="169"/>
      <c r="I619" s="285"/>
    </row>
    <row r="620" spans="1:9" ht="15.75">
      <c r="A620" s="26"/>
      <c r="D620" s="118"/>
      <c r="F620" s="283"/>
      <c r="G620" s="284"/>
      <c r="H620" s="169"/>
      <c r="I620" s="285"/>
    </row>
    <row r="621" spans="1:9" ht="15.75">
      <c r="A621" s="26"/>
      <c r="D621" s="118"/>
      <c r="F621" s="283"/>
      <c r="G621" s="284"/>
      <c r="H621" s="169"/>
      <c r="I621" s="285"/>
    </row>
    <row r="622" spans="1:9" ht="15.75">
      <c r="A622" s="26"/>
      <c r="D622" s="118"/>
      <c r="F622" s="283"/>
      <c r="G622" s="284"/>
      <c r="H622" s="169"/>
      <c r="I622" s="285"/>
    </row>
    <row r="623" spans="1:9" ht="15.75">
      <c r="A623" s="26"/>
      <c r="D623" s="118"/>
      <c r="F623" s="283"/>
      <c r="G623" s="284"/>
      <c r="H623" s="169"/>
      <c r="I623" s="285"/>
    </row>
    <row r="624" spans="1:9" ht="15.75">
      <c r="A624" s="26"/>
      <c r="D624" s="118"/>
      <c r="F624" s="283"/>
      <c r="G624" s="284"/>
      <c r="H624" s="169"/>
      <c r="I624" s="285"/>
    </row>
    <row r="625" spans="1:9" ht="15.75">
      <c r="A625" s="26"/>
      <c r="D625" s="118"/>
      <c r="F625" s="283"/>
      <c r="G625" s="284"/>
      <c r="H625" s="169"/>
      <c r="I625" s="285"/>
    </row>
    <row r="626" spans="1:9" ht="15.75">
      <c r="A626" s="26"/>
      <c r="D626" s="118"/>
      <c r="F626" s="283"/>
      <c r="G626" s="284"/>
      <c r="H626" s="169"/>
      <c r="I626" s="285"/>
    </row>
    <row r="627" spans="1:9" ht="15.75">
      <c r="A627" s="26"/>
      <c r="D627" s="118"/>
      <c r="F627" s="283"/>
      <c r="G627" s="284"/>
      <c r="H627" s="169"/>
      <c r="I627" s="285"/>
    </row>
    <row r="628" spans="1:9" ht="15.75">
      <c r="A628" s="26"/>
      <c r="D628" s="118"/>
      <c r="F628" s="283"/>
      <c r="G628" s="284"/>
      <c r="H628" s="169"/>
      <c r="I628" s="285"/>
    </row>
    <row r="629" spans="1:9" ht="15.75">
      <c r="A629" s="26"/>
      <c r="D629" s="118"/>
      <c r="F629" s="283"/>
      <c r="G629" s="284"/>
      <c r="H629" s="169"/>
      <c r="I629" s="285"/>
    </row>
    <row r="630" spans="1:9" ht="15.75">
      <c r="A630" s="26"/>
      <c r="D630" s="118"/>
      <c r="F630" s="283"/>
      <c r="G630" s="284"/>
      <c r="H630" s="169"/>
      <c r="I630" s="285"/>
    </row>
    <row r="631" spans="1:9" ht="15.75">
      <c r="A631" s="26"/>
      <c r="D631" s="118"/>
      <c r="F631" s="283"/>
      <c r="G631" s="284"/>
      <c r="H631" s="169"/>
      <c r="I631" s="285"/>
    </row>
    <row r="632" spans="1:9" ht="15.75">
      <c r="A632" s="26"/>
      <c r="D632" s="118"/>
      <c r="F632" s="283"/>
      <c r="G632" s="284"/>
      <c r="H632" s="169"/>
      <c r="I632" s="285"/>
    </row>
    <row r="633" spans="1:9" ht="15.75">
      <c r="A633" s="26"/>
      <c r="D633" s="118"/>
      <c r="F633" s="283"/>
      <c r="G633" s="284"/>
      <c r="H633" s="169"/>
      <c r="I633" s="285"/>
    </row>
    <row r="634" spans="1:9" ht="15.75">
      <c r="A634" s="26"/>
      <c r="D634" s="118"/>
      <c r="F634" s="283"/>
      <c r="G634" s="284"/>
      <c r="H634" s="169"/>
      <c r="I634" s="285"/>
    </row>
    <row r="635" spans="1:9" ht="15.75">
      <c r="A635" s="26"/>
      <c r="D635" s="118"/>
      <c r="F635" s="283"/>
      <c r="G635" s="284"/>
      <c r="H635" s="169"/>
      <c r="I635" s="285"/>
    </row>
    <row r="636" spans="1:9" ht="15.75">
      <c r="A636" s="26"/>
      <c r="D636" s="118"/>
      <c r="F636" s="283"/>
      <c r="G636" s="284"/>
      <c r="H636" s="169"/>
      <c r="I636" s="285"/>
    </row>
    <row r="637" spans="1:9" ht="15.75">
      <c r="A637" s="26"/>
      <c r="D637" s="118"/>
      <c r="F637" s="283"/>
      <c r="G637" s="284"/>
      <c r="H637" s="169"/>
      <c r="I637" s="285"/>
    </row>
    <row r="638" spans="1:9" ht="15.75">
      <c r="A638" s="26"/>
      <c r="D638" s="118"/>
      <c r="F638" s="283"/>
      <c r="G638" s="284"/>
      <c r="H638" s="169"/>
      <c r="I638" s="285"/>
    </row>
    <row r="639" spans="1:9" ht="15.75">
      <c r="A639" s="26"/>
      <c r="D639" s="118"/>
      <c r="F639" s="283"/>
      <c r="G639" s="284"/>
      <c r="H639" s="169"/>
      <c r="I639" s="285"/>
    </row>
    <row r="640" spans="1:9" ht="15.75">
      <c r="A640" s="26"/>
      <c r="D640" s="118"/>
      <c r="F640" s="283"/>
      <c r="G640" s="284"/>
      <c r="H640" s="169"/>
      <c r="I640" s="285"/>
    </row>
    <row r="641" spans="1:9" ht="15.75">
      <c r="A641" s="26"/>
      <c r="D641" s="118"/>
      <c r="F641" s="283"/>
      <c r="G641" s="284"/>
      <c r="H641" s="169"/>
      <c r="I641" s="285"/>
    </row>
    <row r="642" spans="1:9" ht="15.75">
      <c r="A642" s="26"/>
      <c r="D642" s="118"/>
      <c r="F642" s="283"/>
      <c r="G642" s="284"/>
      <c r="H642" s="169"/>
      <c r="I642" s="285"/>
    </row>
    <row r="643" spans="1:9" ht="15.75">
      <c r="A643" s="26"/>
      <c r="D643" s="118"/>
      <c r="F643" s="283"/>
      <c r="G643" s="284"/>
      <c r="H643" s="169"/>
      <c r="I643" s="285"/>
    </row>
    <row r="644" spans="1:9" ht="15.75">
      <c r="A644" s="26"/>
      <c r="D644" s="118"/>
      <c r="F644" s="283"/>
      <c r="G644" s="284"/>
      <c r="H644" s="169"/>
      <c r="I644" s="285"/>
    </row>
    <row r="645" spans="1:9" ht="15.75">
      <c r="A645" s="26"/>
      <c r="D645" s="118"/>
      <c r="F645" s="283"/>
      <c r="G645" s="284"/>
      <c r="H645" s="169"/>
      <c r="I645" s="285"/>
    </row>
    <row r="646" spans="1:9" ht="15.75">
      <c r="A646" s="26"/>
      <c r="D646" s="118"/>
      <c r="F646" s="283"/>
      <c r="G646" s="284"/>
      <c r="H646" s="169"/>
      <c r="I646" s="285"/>
    </row>
    <row r="647" spans="1:9" ht="15.75">
      <c r="A647" s="26"/>
      <c r="D647" s="118"/>
      <c r="F647" s="283"/>
      <c r="G647" s="284"/>
      <c r="H647" s="169"/>
      <c r="I647" s="285"/>
    </row>
    <row r="648" spans="1:9" ht="15.75">
      <c r="A648" s="26"/>
      <c r="D648" s="118"/>
      <c r="F648" s="283"/>
      <c r="G648" s="284"/>
      <c r="H648" s="169"/>
      <c r="I648" s="285"/>
    </row>
    <row r="649" spans="1:9" ht="15.75">
      <c r="A649" s="26"/>
      <c r="D649" s="118"/>
      <c r="F649" s="283"/>
      <c r="G649" s="284"/>
      <c r="H649" s="169"/>
      <c r="I649" s="285"/>
    </row>
    <row r="650" spans="1:9" ht="15.75">
      <c r="A650" s="26"/>
      <c r="D650" s="118"/>
      <c r="F650" s="283"/>
      <c r="G650" s="284"/>
      <c r="H650" s="169"/>
      <c r="I650" s="285"/>
    </row>
    <row r="651" spans="1:9" ht="15.75">
      <c r="A651" s="26"/>
      <c r="D651" s="118"/>
      <c r="F651" s="283"/>
      <c r="G651" s="284"/>
      <c r="H651" s="169"/>
      <c r="I651" s="285"/>
    </row>
    <row r="652" spans="1:9" ht="15.75">
      <c r="A652" s="26"/>
      <c r="D652" s="118"/>
      <c r="F652" s="283"/>
      <c r="G652" s="284"/>
      <c r="H652" s="169"/>
      <c r="I652" s="285"/>
    </row>
    <row r="653" spans="1:9" ht="15.75">
      <c r="A653" s="26"/>
      <c r="D653" s="118"/>
      <c r="F653" s="283"/>
      <c r="G653" s="284"/>
      <c r="H653" s="169"/>
      <c r="I653" s="285"/>
    </row>
    <row r="654" spans="1:9" ht="15.75">
      <c r="A654" s="26"/>
      <c r="D654" s="118"/>
      <c r="F654" s="283"/>
      <c r="G654" s="284"/>
      <c r="H654" s="169"/>
      <c r="I654" s="285"/>
    </row>
    <row r="655" spans="1:9" ht="15.75">
      <c r="A655" s="26"/>
      <c r="D655" s="118"/>
      <c r="F655" s="283"/>
      <c r="G655" s="284"/>
      <c r="H655" s="169"/>
      <c r="I655" s="285"/>
    </row>
    <row r="656" spans="1:9" ht="15.75">
      <c r="A656" s="26"/>
      <c r="D656" s="118"/>
      <c r="F656" s="283"/>
      <c r="G656" s="284"/>
      <c r="H656" s="169"/>
      <c r="I656" s="285"/>
    </row>
    <row r="657" spans="1:9" ht="15.75">
      <c r="A657" s="26"/>
      <c r="D657" s="118"/>
      <c r="F657" s="283"/>
      <c r="G657" s="284"/>
      <c r="H657" s="169"/>
      <c r="I657" s="285"/>
    </row>
    <row r="658" spans="1:9" ht="15.75">
      <c r="A658" s="26"/>
      <c r="D658" s="118"/>
      <c r="F658" s="283"/>
      <c r="G658" s="284"/>
      <c r="H658" s="169"/>
      <c r="I658" s="285"/>
    </row>
    <row r="659" spans="1:9" ht="15.75">
      <c r="A659" s="26"/>
      <c r="D659" s="118"/>
      <c r="F659" s="283"/>
      <c r="G659" s="284"/>
      <c r="H659" s="169"/>
      <c r="I659" s="285"/>
    </row>
    <row r="660" spans="1:9" ht="15.75">
      <c r="A660" s="26"/>
      <c r="D660" s="118"/>
      <c r="F660" s="283"/>
      <c r="G660" s="284"/>
      <c r="H660" s="169"/>
      <c r="I660" s="285"/>
    </row>
    <row r="661" spans="1:9" ht="15.75">
      <c r="A661" s="26"/>
      <c r="D661" s="118"/>
      <c r="F661" s="283"/>
      <c r="G661" s="284"/>
      <c r="H661" s="169"/>
      <c r="I661" s="285"/>
    </row>
    <row r="662" spans="1:9" ht="15.75">
      <c r="A662" s="26"/>
      <c r="D662" s="118"/>
      <c r="F662" s="283"/>
      <c r="G662" s="284"/>
      <c r="H662" s="169"/>
      <c r="I662" s="285"/>
    </row>
    <row r="663" spans="1:9" ht="15.75">
      <c r="A663" s="26"/>
      <c r="D663" s="118"/>
      <c r="F663" s="283"/>
      <c r="G663" s="284"/>
      <c r="H663" s="169"/>
      <c r="I663" s="285"/>
    </row>
    <row r="664" spans="1:9" ht="15.75">
      <c r="A664" s="26"/>
      <c r="D664" s="118"/>
      <c r="F664" s="283"/>
      <c r="G664" s="284"/>
      <c r="H664" s="169"/>
      <c r="I664" s="285"/>
    </row>
    <row r="665" spans="1:9" ht="15.75">
      <c r="A665" s="26"/>
      <c r="D665" s="118"/>
      <c r="F665" s="283"/>
      <c r="G665" s="284"/>
      <c r="H665" s="169"/>
      <c r="I665" s="285"/>
    </row>
    <row r="666" spans="1:9" ht="15.75">
      <c r="A666" s="26"/>
      <c r="D666" s="118"/>
      <c r="F666" s="283"/>
      <c r="G666" s="284"/>
      <c r="H666" s="169"/>
      <c r="I666" s="285"/>
    </row>
    <row r="667" spans="1:9" ht="15.75">
      <c r="A667" s="26"/>
      <c r="D667" s="118"/>
      <c r="F667" s="283"/>
      <c r="G667" s="284"/>
      <c r="H667" s="169"/>
      <c r="I667" s="285"/>
    </row>
    <row r="668" spans="1:9" ht="15.75">
      <c r="A668" s="26"/>
      <c r="D668" s="118"/>
      <c r="F668" s="283"/>
      <c r="G668" s="284"/>
      <c r="H668" s="169"/>
      <c r="I668" s="285"/>
    </row>
    <row r="669" spans="1:9" ht="15.75">
      <c r="A669" s="26"/>
      <c r="D669" s="118"/>
      <c r="F669" s="283"/>
      <c r="G669" s="284"/>
      <c r="H669" s="169"/>
      <c r="I669" s="285"/>
    </row>
    <row r="670" spans="1:9" ht="15.75">
      <c r="A670" s="26"/>
      <c r="D670" s="118"/>
      <c r="F670" s="283"/>
      <c r="G670" s="284"/>
      <c r="H670" s="169"/>
      <c r="I670" s="285"/>
    </row>
    <row r="671" spans="1:9" ht="15.75">
      <c r="A671" s="26"/>
      <c r="D671" s="118"/>
      <c r="F671" s="283"/>
      <c r="G671" s="284"/>
      <c r="H671" s="169"/>
      <c r="I671" s="285"/>
    </row>
    <row r="672" spans="1:9" ht="15.75">
      <c r="A672" s="26"/>
      <c r="D672" s="118"/>
      <c r="F672" s="283"/>
      <c r="G672" s="284"/>
      <c r="H672" s="169"/>
      <c r="I672" s="285"/>
    </row>
    <row r="673" spans="1:9" ht="15.75">
      <c r="A673" s="26"/>
      <c r="D673" s="118"/>
      <c r="F673" s="283"/>
      <c r="G673" s="284"/>
      <c r="H673" s="169"/>
      <c r="I673" s="285"/>
    </row>
    <row r="674" spans="1:9" ht="15.75">
      <c r="A674" s="26"/>
      <c r="D674" s="118"/>
      <c r="F674" s="283"/>
      <c r="G674" s="284"/>
      <c r="H674" s="169"/>
      <c r="I674" s="285"/>
    </row>
    <row r="675" spans="1:9" ht="15.75">
      <c r="A675" s="26"/>
      <c r="D675" s="118"/>
      <c r="F675" s="283"/>
      <c r="G675" s="284"/>
      <c r="H675" s="169"/>
      <c r="I675" s="285"/>
    </row>
    <row r="676" spans="1:9" ht="15.75">
      <c r="A676" s="26"/>
      <c r="D676" s="118"/>
      <c r="F676" s="283"/>
      <c r="G676" s="284"/>
      <c r="H676" s="169"/>
      <c r="I676" s="285"/>
    </row>
    <row r="677" spans="1:9" ht="15.75">
      <c r="A677" s="26"/>
      <c r="D677" s="118"/>
      <c r="F677" s="283"/>
      <c r="G677" s="284"/>
      <c r="H677" s="169"/>
      <c r="I677" s="285"/>
    </row>
    <row r="678" spans="1:9" ht="15.75">
      <c r="A678" s="26"/>
      <c r="D678" s="118"/>
      <c r="F678" s="283"/>
      <c r="G678" s="284"/>
      <c r="H678" s="169"/>
      <c r="I678" s="285"/>
    </row>
    <row r="679" spans="1:9" ht="15.75">
      <c r="A679" s="26"/>
      <c r="D679" s="118"/>
      <c r="F679" s="283"/>
      <c r="G679" s="284"/>
      <c r="H679" s="169"/>
      <c r="I679" s="285"/>
    </row>
    <row r="680" spans="1:9" ht="15.75">
      <c r="A680" s="26"/>
      <c r="D680" s="118"/>
      <c r="F680" s="283"/>
      <c r="G680" s="284"/>
      <c r="H680" s="169"/>
      <c r="I680" s="285"/>
    </row>
    <row r="681" spans="1:9" ht="15.75">
      <c r="A681" s="26"/>
      <c r="D681" s="118"/>
      <c r="F681" s="283"/>
      <c r="G681" s="284"/>
      <c r="H681" s="169"/>
      <c r="I681" s="285"/>
    </row>
    <row r="682" spans="1:9" ht="15.75">
      <c r="A682" s="26"/>
      <c r="D682" s="118"/>
      <c r="F682" s="283"/>
      <c r="G682" s="284"/>
      <c r="H682" s="169"/>
      <c r="I682" s="285"/>
    </row>
    <row r="683" spans="1:9" ht="15.75">
      <c r="A683" s="26"/>
      <c r="D683" s="118"/>
      <c r="F683" s="283"/>
      <c r="G683" s="284"/>
      <c r="H683" s="169"/>
      <c r="I683" s="285"/>
    </row>
    <row r="684" spans="1:9" ht="15.75">
      <c r="A684" s="26"/>
      <c r="D684" s="118"/>
      <c r="F684" s="283"/>
      <c r="G684" s="284"/>
      <c r="H684" s="169"/>
      <c r="I684" s="285"/>
    </row>
    <row r="685" spans="1:9" ht="15.75">
      <c r="A685" s="26"/>
      <c r="D685" s="118"/>
      <c r="F685" s="283"/>
      <c r="G685" s="284"/>
      <c r="H685" s="169"/>
      <c r="I685" s="285"/>
    </row>
    <row r="686" spans="1:9" ht="15.75">
      <c r="A686" s="26"/>
      <c r="D686" s="118"/>
      <c r="F686" s="283"/>
      <c r="G686" s="284"/>
      <c r="H686" s="169"/>
      <c r="I686" s="285"/>
    </row>
    <row r="687" spans="1:9" ht="15.75">
      <c r="A687" s="26"/>
      <c r="D687" s="118"/>
      <c r="F687" s="283"/>
      <c r="G687" s="284"/>
      <c r="H687" s="169"/>
      <c r="I687" s="285"/>
    </row>
    <row r="688" spans="1:9" ht="15.75">
      <c r="A688" s="26"/>
      <c r="D688" s="118"/>
      <c r="F688" s="283"/>
      <c r="G688" s="284"/>
      <c r="H688" s="169"/>
      <c r="I688" s="285"/>
    </row>
    <row r="689" spans="1:9" ht="15.75">
      <c r="A689" s="26"/>
      <c r="D689" s="118"/>
      <c r="F689" s="283"/>
      <c r="G689" s="284"/>
      <c r="H689" s="169"/>
      <c r="I689" s="285"/>
    </row>
    <row r="690" spans="1:9" ht="15.75">
      <c r="A690" s="26"/>
      <c r="D690" s="118"/>
      <c r="F690" s="283"/>
      <c r="G690" s="284"/>
      <c r="H690" s="169"/>
      <c r="I690" s="285"/>
    </row>
    <row r="691" spans="1:9" ht="15.75">
      <c r="A691" s="26"/>
      <c r="D691" s="118"/>
      <c r="F691" s="283"/>
      <c r="G691" s="284"/>
      <c r="H691" s="169"/>
      <c r="I691" s="285"/>
    </row>
    <row r="692" spans="1:9" ht="15.75">
      <c r="A692" s="26"/>
      <c r="D692" s="118"/>
      <c r="F692" s="283"/>
      <c r="G692" s="284"/>
      <c r="H692" s="169"/>
      <c r="I692" s="285"/>
    </row>
    <row r="693" spans="1:9" ht="15.75">
      <c r="A693" s="26"/>
      <c r="D693" s="118"/>
      <c r="F693" s="283"/>
      <c r="G693" s="284"/>
      <c r="H693" s="169"/>
      <c r="I693" s="285"/>
    </row>
    <row r="694" spans="1:9" ht="15.75">
      <c r="A694" s="26"/>
      <c r="D694" s="118"/>
      <c r="F694" s="283"/>
      <c r="G694" s="284"/>
      <c r="H694" s="169"/>
      <c r="I694" s="285"/>
    </row>
    <row r="695" spans="1:9" ht="15.75">
      <c r="A695" s="26"/>
      <c r="D695" s="118"/>
      <c r="F695" s="283"/>
      <c r="G695" s="284"/>
      <c r="H695" s="169"/>
      <c r="I695" s="285"/>
    </row>
    <row r="696" spans="1:9" ht="15.75">
      <c r="A696" s="26"/>
      <c r="D696" s="118"/>
      <c r="F696" s="283"/>
      <c r="G696" s="284"/>
      <c r="H696" s="169"/>
      <c r="I696" s="285"/>
    </row>
    <row r="697" spans="1:9" ht="15.75">
      <c r="A697" s="26"/>
      <c r="D697" s="118"/>
      <c r="F697" s="283"/>
      <c r="G697" s="284"/>
      <c r="H697" s="169"/>
      <c r="I697" s="285"/>
    </row>
    <row r="698" spans="1:9" ht="15.75">
      <c r="A698" s="26"/>
      <c r="D698" s="118"/>
      <c r="F698" s="283"/>
      <c r="G698" s="284"/>
      <c r="H698" s="169"/>
      <c r="I698" s="285"/>
    </row>
    <row r="699" spans="1:9" ht="15.75">
      <c r="A699" s="26"/>
      <c r="D699" s="118"/>
      <c r="F699" s="283"/>
      <c r="G699" s="284"/>
      <c r="H699" s="169"/>
      <c r="I699" s="285"/>
    </row>
    <row r="700" spans="1:9" ht="15.75">
      <c r="A700" s="26"/>
      <c r="D700" s="118"/>
      <c r="F700" s="283"/>
      <c r="G700" s="284"/>
      <c r="H700" s="169"/>
      <c r="I700" s="285"/>
    </row>
    <row r="701" spans="1:9" ht="15.75">
      <c r="A701" s="26"/>
      <c r="D701" s="118"/>
      <c r="F701" s="283"/>
      <c r="G701" s="284"/>
      <c r="H701" s="169"/>
      <c r="I701" s="285"/>
    </row>
    <row r="702" spans="1:9" ht="15.75">
      <c r="A702" s="26"/>
      <c r="D702" s="118"/>
      <c r="F702" s="283"/>
      <c r="G702" s="284"/>
      <c r="H702" s="169"/>
      <c r="I702" s="285"/>
    </row>
    <row r="703" spans="1:9" ht="15.75">
      <c r="A703" s="26"/>
      <c r="D703" s="118"/>
      <c r="F703" s="283"/>
      <c r="G703" s="284"/>
      <c r="H703" s="169"/>
      <c r="I703" s="285"/>
    </row>
    <row r="704" spans="1:9" ht="15.75">
      <c r="A704" s="26"/>
      <c r="D704" s="118"/>
      <c r="F704" s="283"/>
      <c r="G704" s="284"/>
      <c r="H704" s="169"/>
      <c r="I704" s="285"/>
    </row>
    <row r="705" spans="1:9" ht="15.75">
      <c r="A705" s="26"/>
      <c r="D705" s="118"/>
      <c r="F705" s="283"/>
      <c r="G705" s="284"/>
      <c r="H705" s="169"/>
      <c r="I705" s="285"/>
    </row>
    <row r="706" spans="1:9" ht="15.75">
      <c r="A706" s="26"/>
      <c r="D706" s="118"/>
      <c r="F706" s="283"/>
      <c r="G706" s="284"/>
      <c r="H706" s="169"/>
      <c r="I706" s="285"/>
    </row>
    <row r="707" spans="1:9" ht="15.75">
      <c r="A707" s="26"/>
      <c r="D707" s="118"/>
      <c r="F707" s="283"/>
      <c r="G707" s="284"/>
      <c r="H707" s="169"/>
      <c r="I707" s="285"/>
    </row>
    <row r="708" spans="1:9" ht="15.75">
      <c r="A708" s="26"/>
      <c r="D708" s="118"/>
      <c r="F708" s="283"/>
      <c r="G708" s="284"/>
      <c r="H708" s="169"/>
      <c r="I708" s="285"/>
    </row>
    <row r="709" spans="1:9" ht="15.75">
      <c r="A709" s="26"/>
      <c r="D709" s="118"/>
      <c r="F709" s="283"/>
      <c r="G709" s="284"/>
      <c r="H709" s="169"/>
      <c r="I709" s="285"/>
    </row>
    <row r="710" spans="1:9" ht="15.75">
      <c r="A710" s="26"/>
      <c r="D710" s="118"/>
      <c r="F710" s="283"/>
      <c r="G710" s="284"/>
      <c r="H710" s="169"/>
      <c r="I710" s="285"/>
    </row>
    <row r="711" spans="1:9" ht="15.75">
      <c r="A711" s="26"/>
      <c r="D711" s="118"/>
      <c r="F711" s="283"/>
      <c r="G711" s="284"/>
      <c r="H711" s="169"/>
      <c r="I711" s="285"/>
    </row>
    <row r="712" spans="1:9" ht="15.75">
      <c r="A712" s="26"/>
      <c r="D712" s="118"/>
      <c r="F712" s="283"/>
      <c r="G712" s="284"/>
      <c r="H712" s="169"/>
      <c r="I712" s="285"/>
    </row>
    <row r="713" spans="1:9" ht="15.75">
      <c r="A713" s="26"/>
      <c r="D713" s="118"/>
      <c r="F713" s="283"/>
      <c r="G713" s="284"/>
      <c r="H713" s="169"/>
      <c r="I713" s="285"/>
    </row>
    <row r="714" spans="1:9" ht="15.75">
      <c r="A714" s="26"/>
      <c r="D714" s="118"/>
      <c r="F714" s="283"/>
      <c r="G714" s="284"/>
      <c r="H714" s="169"/>
      <c r="I714" s="285"/>
    </row>
    <row r="715" spans="1:9" ht="15.75">
      <c r="A715" s="26"/>
      <c r="D715" s="118"/>
      <c r="F715" s="283"/>
      <c r="G715" s="284"/>
      <c r="H715" s="169"/>
      <c r="I715" s="285"/>
    </row>
    <row r="716" spans="1:9" ht="15.75">
      <c r="A716" s="26"/>
      <c r="D716" s="118"/>
      <c r="F716" s="283"/>
      <c r="G716" s="284"/>
      <c r="H716" s="169"/>
      <c r="I716" s="285"/>
    </row>
    <row r="717" spans="1:9" ht="15.75">
      <c r="A717" s="26"/>
      <c r="D717" s="118"/>
      <c r="F717" s="283"/>
      <c r="G717" s="284"/>
      <c r="H717" s="169"/>
      <c r="I717" s="285"/>
    </row>
    <row r="718" spans="1:9" ht="15.75">
      <c r="A718" s="26"/>
      <c r="D718" s="118"/>
      <c r="F718" s="283"/>
      <c r="G718" s="284"/>
      <c r="H718" s="169"/>
      <c r="I718" s="285"/>
    </row>
    <row r="719" spans="1:9" ht="15.75">
      <c r="A719" s="26"/>
      <c r="D719" s="118"/>
      <c r="F719" s="283"/>
      <c r="G719" s="284"/>
      <c r="H719" s="169"/>
      <c r="I719" s="285"/>
    </row>
    <row r="720" spans="1:9" ht="15.75">
      <c r="A720" s="26"/>
      <c r="D720" s="118"/>
      <c r="F720" s="283"/>
      <c r="G720" s="284"/>
      <c r="H720" s="169"/>
      <c r="I720" s="285"/>
    </row>
    <row r="721" spans="1:9" ht="15.75">
      <c r="A721" s="26"/>
      <c r="D721" s="118"/>
      <c r="F721" s="283"/>
      <c r="G721" s="284"/>
      <c r="H721" s="169"/>
      <c r="I721" s="285"/>
    </row>
    <row r="722" spans="1:9" ht="15.75">
      <c r="A722" s="26"/>
      <c r="D722" s="118"/>
      <c r="F722" s="283"/>
      <c r="G722" s="284"/>
      <c r="H722" s="169"/>
      <c r="I722" s="285"/>
    </row>
    <row r="723" spans="1:9" ht="15.75">
      <c r="A723" s="26"/>
      <c r="D723" s="118"/>
      <c r="F723" s="283"/>
      <c r="G723" s="284"/>
      <c r="H723" s="169"/>
      <c r="I723" s="285"/>
    </row>
    <row r="724" spans="1:9" ht="15.75">
      <c r="A724" s="26"/>
      <c r="D724" s="118"/>
      <c r="F724" s="283"/>
      <c r="G724" s="284"/>
      <c r="H724" s="169"/>
      <c r="I724" s="285"/>
    </row>
    <row r="725" spans="1:9" ht="15.75">
      <c r="A725" s="26"/>
      <c r="D725" s="118"/>
      <c r="F725" s="283"/>
      <c r="G725" s="284"/>
      <c r="H725" s="169"/>
      <c r="I725" s="285"/>
    </row>
    <row r="726" spans="1:9" ht="15.75">
      <c r="A726" s="26"/>
      <c r="D726" s="118"/>
      <c r="F726" s="283"/>
      <c r="G726" s="284"/>
      <c r="H726" s="169"/>
      <c r="I726" s="285"/>
    </row>
    <row r="727" spans="1:9" ht="15.75">
      <c r="A727" s="26"/>
      <c r="D727" s="118"/>
      <c r="F727" s="283"/>
      <c r="G727" s="284"/>
      <c r="H727" s="169"/>
      <c r="I727" s="285"/>
    </row>
    <row r="728" spans="1:9" ht="15.75">
      <c r="A728" s="26"/>
      <c r="D728" s="118"/>
      <c r="F728" s="283"/>
      <c r="G728" s="284"/>
      <c r="H728" s="169"/>
      <c r="I728" s="285"/>
    </row>
    <row r="729" spans="1:9" ht="15.75">
      <c r="A729" s="26"/>
      <c r="D729" s="118"/>
      <c r="F729" s="283"/>
      <c r="G729" s="284"/>
      <c r="H729" s="169"/>
      <c r="I729" s="285"/>
    </row>
    <row r="730" spans="1:9" ht="15.75">
      <c r="A730" s="26"/>
      <c r="D730" s="118"/>
      <c r="F730" s="283"/>
      <c r="G730" s="284"/>
      <c r="H730" s="169"/>
      <c r="I730" s="285"/>
    </row>
    <row r="731" spans="1:9" ht="15.75">
      <c r="A731" s="26"/>
      <c r="D731" s="118"/>
      <c r="F731" s="283"/>
      <c r="G731" s="284"/>
      <c r="H731" s="169"/>
      <c r="I731" s="285"/>
    </row>
    <row r="732" spans="1:9" ht="15.75">
      <c r="A732" s="26"/>
      <c r="D732" s="118"/>
      <c r="F732" s="283"/>
      <c r="G732" s="284"/>
      <c r="H732" s="169"/>
      <c r="I732" s="285"/>
    </row>
    <row r="733" spans="1:9" ht="15.75">
      <c r="A733" s="26"/>
      <c r="D733" s="118"/>
      <c r="F733" s="283"/>
      <c r="G733" s="284"/>
      <c r="H733" s="169"/>
      <c r="I733" s="285"/>
    </row>
    <row r="734" spans="1:9" ht="15.75">
      <c r="A734" s="26"/>
      <c r="D734" s="118"/>
      <c r="F734" s="283"/>
      <c r="G734" s="284"/>
      <c r="H734" s="169"/>
      <c r="I734" s="285"/>
    </row>
    <row r="735" spans="1:9" ht="15.75">
      <c r="A735" s="26"/>
      <c r="D735" s="118"/>
      <c r="F735" s="283"/>
      <c r="G735" s="284"/>
      <c r="H735" s="169"/>
      <c r="I735" s="285"/>
    </row>
    <row r="736" spans="1:9" ht="15.75">
      <c r="A736" s="26"/>
      <c r="D736" s="118"/>
      <c r="F736" s="283"/>
      <c r="G736" s="284"/>
      <c r="H736" s="169"/>
      <c r="I736" s="285"/>
    </row>
    <row r="737" spans="1:9" ht="15.75">
      <c r="A737" s="26"/>
      <c r="D737" s="118"/>
      <c r="F737" s="283"/>
      <c r="G737" s="284"/>
      <c r="H737" s="169"/>
      <c r="I737" s="285"/>
    </row>
    <row r="738" spans="1:9" ht="15.75">
      <c r="A738" s="26"/>
      <c r="D738" s="118"/>
      <c r="F738" s="283"/>
      <c r="G738" s="284"/>
      <c r="H738" s="169"/>
      <c r="I738" s="285"/>
    </row>
    <row r="739" spans="1:9" ht="15.75">
      <c r="A739" s="26"/>
      <c r="D739" s="118"/>
      <c r="F739" s="283"/>
      <c r="G739" s="284"/>
      <c r="H739" s="169"/>
      <c r="I739" s="285"/>
    </row>
    <row r="740" spans="1:9" ht="15.75">
      <c r="A740" s="26"/>
      <c r="D740" s="118"/>
      <c r="F740" s="283"/>
      <c r="G740" s="284"/>
      <c r="H740" s="169"/>
      <c r="I740" s="285"/>
    </row>
    <row r="741" spans="1:9" ht="15.75">
      <c r="A741" s="26"/>
      <c r="D741" s="118"/>
      <c r="F741" s="283"/>
      <c r="G741" s="284"/>
      <c r="H741" s="169"/>
      <c r="I741" s="285"/>
    </row>
    <row r="742" spans="1:9" ht="15.75">
      <c r="A742" s="26"/>
      <c r="D742" s="118"/>
      <c r="F742" s="283"/>
      <c r="G742" s="284"/>
      <c r="H742" s="169"/>
      <c r="I742" s="285"/>
    </row>
    <row r="743" spans="1:9" ht="15.75">
      <c r="A743" s="26"/>
      <c r="D743" s="118"/>
      <c r="F743" s="283"/>
      <c r="G743" s="284"/>
      <c r="H743" s="169"/>
      <c r="I743" s="285"/>
    </row>
    <row r="744" spans="1:9" ht="15.75">
      <c r="A744" s="26"/>
      <c r="D744" s="118"/>
      <c r="F744" s="283"/>
      <c r="G744" s="284"/>
      <c r="H744" s="169"/>
      <c r="I744" s="285"/>
    </row>
    <row r="745" spans="1:9" ht="15.75">
      <c r="A745" s="26"/>
      <c r="D745" s="118"/>
      <c r="F745" s="283"/>
      <c r="G745" s="284"/>
      <c r="H745" s="169"/>
      <c r="I745" s="285"/>
    </row>
    <row r="746" spans="1:9" ht="15.75">
      <c r="A746" s="26"/>
      <c r="D746" s="118"/>
      <c r="F746" s="283"/>
      <c r="G746" s="284"/>
      <c r="H746" s="169"/>
      <c r="I746" s="285"/>
    </row>
    <row r="747" spans="1:9" ht="15.75">
      <c r="A747" s="26"/>
      <c r="D747" s="118"/>
      <c r="F747" s="283"/>
      <c r="G747" s="284"/>
      <c r="H747" s="169"/>
      <c r="I747" s="285"/>
    </row>
    <row r="748" spans="1:9" ht="15.75">
      <c r="A748" s="26"/>
      <c r="D748" s="118"/>
      <c r="F748" s="283"/>
      <c r="G748" s="284"/>
      <c r="H748" s="169"/>
      <c r="I748" s="285"/>
    </row>
    <row r="749" spans="1:9" ht="15.75">
      <c r="A749" s="26"/>
      <c r="D749" s="118"/>
      <c r="F749" s="283"/>
      <c r="G749" s="284"/>
      <c r="H749" s="169"/>
      <c r="I749" s="285"/>
    </row>
    <row r="750" spans="1:9" ht="15.75">
      <c r="A750" s="26"/>
      <c r="D750" s="118"/>
      <c r="F750" s="283"/>
      <c r="G750" s="284"/>
      <c r="H750" s="169"/>
      <c r="I750" s="285"/>
    </row>
    <row r="751" spans="1:9" ht="15.75">
      <c r="A751" s="26"/>
      <c r="D751" s="118"/>
      <c r="F751" s="283"/>
      <c r="G751" s="284"/>
      <c r="H751" s="169"/>
      <c r="I751" s="285"/>
    </row>
    <row r="752" spans="1:9" ht="15.75">
      <c r="A752" s="26"/>
      <c r="D752" s="118"/>
      <c r="F752" s="283"/>
      <c r="G752" s="284"/>
      <c r="H752" s="169"/>
      <c r="I752" s="285"/>
    </row>
    <row r="753" spans="1:9" ht="15.75">
      <c r="A753" s="26"/>
      <c r="D753" s="118"/>
      <c r="F753" s="283"/>
      <c r="G753" s="284"/>
      <c r="H753" s="169"/>
      <c r="I753" s="285"/>
    </row>
    <row r="754" spans="1:9" ht="15.75">
      <c r="A754" s="26"/>
      <c r="D754" s="118"/>
      <c r="F754" s="283"/>
      <c r="G754" s="284"/>
      <c r="H754" s="169"/>
      <c r="I754" s="285"/>
    </row>
    <row r="755" spans="1:9" ht="15.75">
      <c r="A755" s="26"/>
      <c r="D755" s="118"/>
      <c r="F755" s="283"/>
      <c r="G755" s="284"/>
      <c r="H755" s="169"/>
      <c r="I755" s="285"/>
    </row>
    <row r="756" spans="1:9" ht="15.75">
      <c r="A756" s="26"/>
      <c r="D756" s="118"/>
      <c r="F756" s="283"/>
      <c r="G756" s="284"/>
      <c r="H756" s="169"/>
      <c r="I756" s="285"/>
    </row>
    <row r="757" spans="1:9" ht="15.75">
      <c r="A757" s="26"/>
      <c r="D757" s="118"/>
      <c r="F757" s="283"/>
      <c r="G757" s="284"/>
      <c r="H757" s="169"/>
      <c r="I757" s="285"/>
    </row>
    <row r="758" spans="1:9" ht="15.75">
      <c r="A758" s="26"/>
      <c r="D758" s="118"/>
      <c r="F758" s="283"/>
      <c r="G758" s="284"/>
      <c r="H758" s="169"/>
      <c r="I758" s="285"/>
    </row>
    <row r="759" spans="1:9" ht="15.75">
      <c r="A759" s="26"/>
      <c r="D759" s="118"/>
      <c r="F759" s="283"/>
      <c r="G759" s="284"/>
      <c r="H759" s="169"/>
      <c r="I759" s="285"/>
    </row>
    <row r="760" spans="1:9" ht="15.75">
      <c r="A760" s="26"/>
      <c r="D760" s="118"/>
      <c r="F760" s="283"/>
      <c r="G760" s="284"/>
      <c r="H760" s="169"/>
      <c r="I760" s="285"/>
    </row>
    <row r="761" spans="1:9" ht="15.75">
      <c r="A761" s="26"/>
      <c r="D761" s="118"/>
      <c r="F761" s="283"/>
      <c r="G761" s="284"/>
      <c r="H761" s="169"/>
      <c r="I761" s="285"/>
    </row>
    <row r="762" spans="1:9" ht="15.75">
      <c r="A762" s="26"/>
      <c r="D762" s="118"/>
      <c r="F762" s="283"/>
      <c r="G762" s="284"/>
      <c r="H762" s="169"/>
      <c r="I762" s="285"/>
    </row>
    <row r="763" spans="1:9" ht="15.75">
      <c r="A763" s="26"/>
      <c r="D763" s="118"/>
      <c r="F763" s="283"/>
      <c r="G763" s="284"/>
      <c r="H763" s="169"/>
      <c r="I763" s="285"/>
    </row>
    <row r="764" spans="1:9" ht="15.75">
      <c r="A764" s="26"/>
      <c r="D764" s="118"/>
      <c r="F764" s="283"/>
      <c r="G764" s="284"/>
      <c r="H764" s="169"/>
      <c r="I764" s="285"/>
    </row>
    <row r="765" spans="1:9" ht="15.75">
      <c r="A765" s="26"/>
      <c r="D765" s="118"/>
      <c r="F765" s="283"/>
      <c r="G765" s="284"/>
      <c r="H765" s="169"/>
      <c r="I765" s="285"/>
    </row>
    <row r="766" spans="1:9" ht="15.75">
      <c r="A766" s="26"/>
      <c r="D766" s="118"/>
      <c r="F766" s="283"/>
      <c r="G766" s="284"/>
      <c r="H766" s="169"/>
      <c r="I766" s="285"/>
    </row>
    <row r="767" spans="1:9" ht="15.75">
      <c r="A767" s="26"/>
      <c r="D767" s="118"/>
      <c r="F767" s="283"/>
      <c r="G767" s="284"/>
      <c r="H767" s="169"/>
      <c r="I767" s="285"/>
    </row>
    <row r="768" spans="1:9" ht="15.75">
      <c r="A768" s="26"/>
      <c r="D768" s="118"/>
      <c r="F768" s="283"/>
      <c r="G768" s="284"/>
      <c r="H768" s="169"/>
      <c r="I768" s="285"/>
    </row>
    <row r="769" spans="1:9" ht="15.75">
      <c r="A769" s="26"/>
      <c r="D769" s="118"/>
      <c r="F769" s="283"/>
      <c r="G769" s="284"/>
      <c r="H769" s="169"/>
      <c r="I769" s="285"/>
    </row>
    <row r="770" spans="1:9" ht="15.75">
      <c r="A770" s="26"/>
      <c r="D770" s="118"/>
      <c r="F770" s="283"/>
      <c r="G770" s="284"/>
      <c r="H770" s="169"/>
      <c r="I770" s="285"/>
    </row>
    <row r="771" spans="1:9" ht="15.75">
      <c r="A771" s="26"/>
      <c r="D771" s="118"/>
      <c r="F771" s="283"/>
      <c r="G771" s="284"/>
      <c r="H771" s="169"/>
      <c r="I771" s="285"/>
    </row>
    <row r="772" spans="1:9" ht="15.75">
      <c r="A772" s="26"/>
      <c r="D772" s="118"/>
      <c r="F772" s="283"/>
      <c r="G772" s="284"/>
      <c r="H772" s="169"/>
      <c r="I772" s="285"/>
    </row>
    <row r="773" spans="1:9" ht="15.75">
      <c r="A773" s="26"/>
      <c r="D773" s="118"/>
      <c r="F773" s="283"/>
      <c r="G773" s="284"/>
      <c r="H773" s="169"/>
      <c r="I773" s="285"/>
    </row>
    <row r="774" spans="1:9" ht="15.75">
      <c r="A774" s="26"/>
      <c r="D774" s="118"/>
      <c r="F774" s="283"/>
      <c r="G774" s="284"/>
      <c r="H774" s="169"/>
      <c r="I774" s="285"/>
    </row>
    <row r="775" spans="1:9" ht="15.75">
      <c r="A775" s="26"/>
      <c r="D775" s="118"/>
      <c r="F775" s="283"/>
      <c r="G775" s="284"/>
      <c r="H775" s="169"/>
      <c r="I775" s="285"/>
    </row>
    <row r="776" spans="1:9" ht="15.75">
      <c r="A776" s="26"/>
      <c r="D776" s="118"/>
      <c r="F776" s="283"/>
      <c r="G776" s="284"/>
      <c r="H776" s="169"/>
      <c r="I776" s="285"/>
    </row>
    <row r="777" spans="1:9" ht="15.75">
      <c r="A777" s="26"/>
      <c r="D777" s="118"/>
      <c r="F777" s="283"/>
      <c r="G777" s="284"/>
      <c r="H777" s="169"/>
      <c r="I777" s="285"/>
    </row>
    <row r="778" spans="1:9" ht="15.75">
      <c r="A778" s="26"/>
      <c r="D778" s="118"/>
      <c r="F778" s="283"/>
      <c r="G778" s="284"/>
      <c r="H778" s="169"/>
      <c r="I778" s="285"/>
    </row>
    <row r="779" spans="1:9" ht="15.75">
      <c r="A779" s="26"/>
      <c r="D779" s="118"/>
      <c r="F779" s="283"/>
      <c r="G779" s="284"/>
      <c r="H779" s="169"/>
      <c r="I779" s="285"/>
    </row>
    <row r="780" spans="1:9" ht="15.75">
      <c r="A780" s="26"/>
      <c r="D780" s="118"/>
      <c r="F780" s="283"/>
      <c r="G780" s="284"/>
      <c r="H780" s="169"/>
      <c r="I780" s="285"/>
    </row>
    <row r="781" spans="1:9" ht="15.75">
      <c r="A781" s="26"/>
      <c r="D781" s="118"/>
      <c r="F781" s="283"/>
      <c r="G781" s="284"/>
      <c r="H781" s="169"/>
      <c r="I781" s="285"/>
    </row>
    <row r="782" spans="1:9" ht="15.75">
      <c r="A782" s="26"/>
      <c r="D782" s="118"/>
      <c r="F782" s="283"/>
      <c r="G782" s="284"/>
      <c r="H782" s="169"/>
      <c r="I782" s="285"/>
    </row>
    <row r="783" spans="1:9" ht="15.75">
      <c r="A783" s="26"/>
      <c r="D783" s="118"/>
      <c r="F783" s="283"/>
      <c r="G783" s="284"/>
      <c r="H783" s="169"/>
      <c r="I783" s="285"/>
    </row>
    <row r="784" spans="1:9" ht="15.75">
      <c r="A784" s="26"/>
      <c r="D784" s="118"/>
      <c r="F784" s="283"/>
      <c r="G784" s="284"/>
      <c r="H784" s="169"/>
      <c r="I784" s="285"/>
    </row>
    <row r="785" spans="1:9" ht="15.75">
      <c r="A785" s="26"/>
      <c r="D785" s="118"/>
      <c r="F785" s="283"/>
      <c r="G785" s="284"/>
      <c r="H785" s="169"/>
      <c r="I785" s="285"/>
    </row>
    <row r="786" spans="1:9" ht="15.75">
      <c r="A786" s="26"/>
      <c r="D786" s="118"/>
      <c r="F786" s="283"/>
      <c r="G786" s="284"/>
      <c r="H786" s="169"/>
      <c r="I786" s="285"/>
    </row>
    <row r="787" spans="1:9" ht="15.75">
      <c r="A787" s="26"/>
      <c r="D787" s="118"/>
      <c r="F787" s="283"/>
      <c r="G787" s="284"/>
      <c r="H787" s="169"/>
      <c r="I787" s="285"/>
    </row>
    <row r="788" spans="1:9" ht="15.75">
      <c r="A788" s="26"/>
      <c r="D788" s="118"/>
      <c r="F788" s="283"/>
      <c r="G788" s="284"/>
      <c r="H788" s="169"/>
      <c r="I788" s="285"/>
    </row>
    <row r="789" spans="1:9" ht="15.75">
      <c r="A789" s="26"/>
      <c r="D789" s="118"/>
      <c r="F789" s="283"/>
      <c r="G789" s="284"/>
      <c r="H789" s="169"/>
      <c r="I789" s="285"/>
    </row>
    <row r="790" spans="1:9" ht="15.75">
      <c r="A790" s="26"/>
      <c r="D790" s="118"/>
      <c r="F790" s="283"/>
      <c r="G790" s="284"/>
      <c r="H790" s="169"/>
      <c r="I790" s="285"/>
    </row>
    <row r="791" spans="1:9" ht="15.75">
      <c r="A791" s="26"/>
      <c r="D791" s="118"/>
      <c r="F791" s="283"/>
      <c r="G791" s="284"/>
      <c r="H791" s="169"/>
      <c r="I791" s="285"/>
    </row>
    <row r="792" spans="1:9" ht="15.75">
      <c r="A792" s="26"/>
      <c r="D792" s="118"/>
      <c r="F792" s="283"/>
      <c r="G792" s="284"/>
      <c r="H792" s="169"/>
      <c r="I792" s="285"/>
    </row>
    <row r="793" spans="1:9" ht="15.75">
      <c r="A793" s="26"/>
      <c r="D793" s="118"/>
      <c r="F793" s="283"/>
      <c r="G793" s="284"/>
      <c r="H793" s="169"/>
      <c r="I793" s="285"/>
    </row>
    <row r="794" spans="1:9" ht="15.75">
      <c r="A794" s="26"/>
      <c r="D794" s="118"/>
      <c r="F794" s="283"/>
      <c r="G794" s="284"/>
      <c r="H794" s="169"/>
      <c r="I794" s="285"/>
    </row>
    <row r="795" spans="1:9" ht="15.75">
      <c r="A795" s="26"/>
      <c r="D795" s="118"/>
      <c r="F795" s="283"/>
      <c r="G795" s="284"/>
      <c r="H795" s="169"/>
      <c r="I795" s="285"/>
    </row>
    <row r="796" spans="1:9" ht="15.75">
      <c r="A796" s="26"/>
      <c r="D796" s="118"/>
      <c r="F796" s="283"/>
      <c r="G796" s="284"/>
      <c r="H796" s="169"/>
      <c r="I796" s="285"/>
    </row>
    <row r="797" spans="1:9" ht="15.75">
      <c r="A797" s="26"/>
      <c r="D797" s="118"/>
      <c r="F797" s="283"/>
      <c r="G797" s="284"/>
      <c r="H797" s="169"/>
      <c r="I797" s="285"/>
    </row>
    <row r="798" spans="1:9" ht="15.75">
      <c r="A798" s="26"/>
      <c r="D798" s="118"/>
      <c r="F798" s="283"/>
      <c r="G798" s="284"/>
      <c r="H798" s="169"/>
      <c r="I798" s="285"/>
    </row>
    <row r="799" spans="1:9" ht="15.75">
      <c r="A799" s="26"/>
      <c r="D799" s="118"/>
      <c r="F799" s="283"/>
      <c r="G799" s="284"/>
      <c r="H799" s="169"/>
      <c r="I799" s="285"/>
    </row>
    <row r="800" spans="1:9" ht="15.75">
      <c r="A800" s="26"/>
      <c r="D800" s="118"/>
      <c r="F800" s="283"/>
      <c r="G800" s="284"/>
      <c r="H800" s="169"/>
      <c r="I800" s="285"/>
    </row>
    <row r="801" spans="1:9" ht="15.75">
      <c r="A801" s="26"/>
      <c r="D801" s="118"/>
      <c r="F801" s="283"/>
      <c r="G801" s="284"/>
      <c r="H801" s="169"/>
      <c r="I801" s="285"/>
    </row>
    <row r="802" spans="1:9" ht="15.75">
      <c r="A802" s="26"/>
      <c r="D802" s="118"/>
      <c r="F802" s="283"/>
      <c r="G802" s="284"/>
      <c r="H802" s="169"/>
      <c r="I802" s="285"/>
    </row>
    <row r="803" spans="1:9" ht="15.75">
      <c r="A803" s="26"/>
      <c r="D803" s="118"/>
      <c r="F803" s="283"/>
      <c r="G803" s="284"/>
      <c r="H803" s="169"/>
      <c r="I803" s="285"/>
    </row>
    <row r="804" spans="1:9" ht="15.75">
      <c r="A804" s="26"/>
      <c r="D804" s="118"/>
      <c r="F804" s="283"/>
      <c r="G804" s="284"/>
      <c r="H804" s="169"/>
      <c r="I804" s="285"/>
    </row>
    <row r="805" spans="1:9" ht="15.75">
      <c r="A805" s="26"/>
      <c r="D805" s="118"/>
      <c r="F805" s="283"/>
      <c r="G805" s="284"/>
      <c r="H805" s="169"/>
      <c r="I805" s="285"/>
    </row>
    <row r="806" spans="1:9" ht="15.75">
      <c r="A806" s="26"/>
      <c r="D806" s="118"/>
      <c r="F806" s="283"/>
      <c r="G806" s="284"/>
      <c r="H806" s="169"/>
      <c r="I806" s="285"/>
    </row>
    <row r="807" spans="1:9" ht="15.75">
      <c r="A807" s="26"/>
      <c r="D807" s="118"/>
      <c r="F807" s="283"/>
      <c r="G807" s="284"/>
      <c r="H807" s="169"/>
      <c r="I807" s="285"/>
    </row>
    <row r="808" spans="1:9" ht="15.75">
      <c r="A808" s="26"/>
      <c r="D808" s="118"/>
      <c r="F808" s="283"/>
      <c r="G808" s="284"/>
      <c r="H808" s="169"/>
      <c r="I808" s="285"/>
    </row>
    <row r="809" spans="1:9" ht="15.75">
      <c r="A809" s="26"/>
      <c r="D809" s="118"/>
      <c r="F809" s="283"/>
      <c r="G809" s="284"/>
      <c r="H809" s="169"/>
      <c r="I809" s="285"/>
    </row>
    <row r="810" spans="1:9" ht="15.75">
      <c r="A810" s="26"/>
      <c r="D810" s="118"/>
      <c r="F810" s="283"/>
      <c r="G810" s="284"/>
      <c r="H810" s="169"/>
      <c r="I810" s="285"/>
    </row>
    <row r="811" spans="1:9" ht="15.75">
      <c r="A811" s="26"/>
      <c r="D811" s="118"/>
      <c r="F811" s="283"/>
      <c r="G811" s="284"/>
      <c r="H811" s="169"/>
      <c r="I811" s="285"/>
    </row>
    <row r="812" spans="1:9" ht="15.75">
      <c r="A812" s="26"/>
      <c r="D812" s="118"/>
      <c r="F812" s="283"/>
      <c r="G812" s="284"/>
      <c r="H812" s="169"/>
      <c r="I812" s="285"/>
    </row>
    <row r="813" spans="1:9" ht="15.75">
      <c r="A813" s="26"/>
      <c r="D813" s="118"/>
      <c r="F813" s="283"/>
      <c r="G813" s="284"/>
      <c r="H813" s="169"/>
      <c r="I813" s="285"/>
    </row>
    <row r="814" spans="1:9" ht="15.75">
      <c r="A814" s="26"/>
      <c r="D814" s="118"/>
      <c r="F814" s="283"/>
      <c r="G814" s="284"/>
      <c r="H814" s="169"/>
      <c r="I814" s="285"/>
    </row>
    <row r="815" spans="1:9" ht="15.75">
      <c r="A815" s="26"/>
      <c r="D815" s="118"/>
      <c r="F815" s="283"/>
      <c r="G815" s="284"/>
      <c r="H815" s="169"/>
      <c r="I815" s="285"/>
    </row>
    <row r="816" spans="1:9" ht="15.75">
      <c r="A816" s="26"/>
      <c r="D816" s="118"/>
      <c r="F816" s="283"/>
      <c r="G816" s="284"/>
      <c r="H816" s="169"/>
      <c r="I816" s="285"/>
    </row>
    <row r="817" spans="1:9" ht="15.75">
      <c r="A817" s="26"/>
      <c r="D817" s="118"/>
      <c r="F817" s="283"/>
      <c r="G817" s="284"/>
      <c r="H817" s="169"/>
      <c r="I817" s="285"/>
    </row>
    <row r="818" spans="1:9" ht="15.75">
      <c r="A818" s="26"/>
      <c r="D818" s="118"/>
      <c r="F818" s="283"/>
      <c r="G818" s="284"/>
      <c r="H818" s="169"/>
      <c r="I818" s="285"/>
    </row>
    <row r="819" spans="1:9" ht="15.75">
      <c r="A819" s="26"/>
      <c r="D819" s="118"/>
      <c r="F819" s="283"/>
      <c r="G819" s="284"/>
      <c r="H819" s="169"/>
      <c r="I819" s="285"/>
    </row>
    <row r="820" spans="1:9" ht="15.75">
      <c r="A820" s="26"/>
      <c r="D820" s="118"/>
      <c r="F820" s="283"/>
      <c r="G820" s="284"/>
      <c r="H820" s="169"/>
      <c r="I820" s="285"/>
    </row>
    <row r="821" spans="1:9" ht="15.75">
      <c r="A821" s="26"/>
      <c r="D821" s="118"/>
      <c r="F821" s="283"/>
      <c r="G821" s="284"/>
      <c r="H821" s="169"/>
      <c r="I821" s="285"/>
    </row>
    <row r="822" spans="1:9" ht="15.75">
      <c r="A822" s="26"/>
      <c r="D822" s="118"/>
      <c r="F822" s="283"/>
      <c r="G822" s="284"/>
      <c r="H822" s="169"/>
      <c r="I822" s="285"/>
    </row>
    <row r="823" spans="1:9" ht="15.75">
      <c r="A823" s="26"/>
      <c r="D823" s="118"/>
      <c r="F823" s="283"/>
      <c r="G823" s="284"/>
      <c r="H823" s="169"/>
      <c r="I823" s="285"/>
    </row>
    <row r="824" spans="1:9" ht="15.75">
      <c r="A824" s="26"/>
      <c r="D824" s="118"/>
      <c r="F824" s="283"/>
      <c r="G824" s="284"/>
      <c r="H824" s="169"/>
      <c r="I824" s="285"/>
    </row>
    <row r="825" spans="1:9" ht="15.75">
      <c r="A825" s="26"/>
      <c r="D825" s="118"/>
      <c r="F825" s="283"/>
      <c r="G825" s="284"/>
      <c r="H825" s="169"/>
      <c r="I825" s="285"/>
    </row>
    <row r="826" spans="1:9" ht="15.75">
      <c r="A826" s="26"/>
      <c r="D826" s="118"/>
      <c r="F826" s="283"/>
      <c r="G826" s="284"/>
      <c r="H826" s="169"/>
      <c r="I826" s="285"/>
    </row>
    <row r="827" spans="1:9" ht="15.75">
      <c r="A827" s="26"/>
      <c r="D827" s="118"/>
      <c r="F827" s="283"/>
      <c r="G827" s="284"/>
      <c r="H827" s="169"/>
      <c r="I827" s="285"/>
    </row>
    <row r="828" spans="1:9" ht="15.75">
      <c r="A828" s="26"/>
      <c r="D828" s="118"/>
      <c r="F828" s="283"/>
      <c r="G828" s="284"/>
      <c r="H828" s="169"/>
      <c r="I828" s="285"/>
    </row>
    <row r="829" spans="1:9" ht="15.75">
      <c r="A829" s="26"/>
      <c r="D829" s="118"/>
      <c r="F829" s="283"/>
      <c r="G829" s="284"/>
      <c r="H829" s="169"/>
      <c r="I829" s="285"/>
    </row>
    <row r="830" spans="1:9" ht="15.75">
      <c r="A830" s="26"/>
      <c r="D830" s="118"/>
      <c r="F830" s="283"/>
      <c r="G830" s="284"/>
      <c r="H830" s="169"/>
      <c r="I830" s="285"/>
    </row>
    <row r="831" spans="1:9" ht="15.75">
      <c r="A831" s="26"/>
      <c r="D831" s="118"/>
      <c r="F831" s="283"/>
      <c r="G831" s="284"/>
      <c r="H831" s="169"/>
      <c r="I831" s="285"/>
    </row>
    <row r="832" spans="1:9" ht="15.75">
      <c r="A832" s="26"/>
      <c r="D832" s="118"/>
      <c r="F832" s="283"/>
      <c r="G832" s="284"/>
      <c r="H832" s="169"/>
      <c r="I832" s="285"/>
    </row>
    <row r="833" spans="1:9" ht="15.75">
      <c r="A833" s="26"/>
      <c r="D833" s="118"/>
      <c r="F833" s="283"/>
      <c r="G833" s="284"/>
      <c r="H833" s="169"/>
      <c r="I833" s="285"/>
    </row>
    <row r="834" spans="1:9" ht="15.75">
      <c r="A834" s="26"/>
      <c r="D834" s="118"/>
      <c r="F834" s="283"/>
      <c r="G834" s="284"/>
      <c r="H834" s="169"/>
      <c r="I834" s="285"/>
    </row>
    <row r="835" spans="1:9" ht="15.75">
      <c r="A835" s="26"/>
      <c r="D835" s="118"/>
      <c r="F835" s="283"/>
      <c r="G835" s="284"/>
      <c r="H835" s="169"/>
      <c r="I835" s="285"/>
    </row>
    <row r="836" spans="1:9" ht="15.75">
      <c r="A836" s="26"/>
      <c r="D836" s="118"/>
      <c r="F836" s="283"/>
      <c r="G836" s="284"/>
      <c r="H836" s="169"/>
      <c r="I836" s="285"/>
    </row>
    <row r="837" spans="1:9" ht="15.75">
      <c r="A837" s="26"/>
      <c r="D837" s="118"/>
      <c r="F837" s="283"/>
      <c r="G837" s="284"/>
      <c r="H837" s="169"/>
      <c r="I837" s="285"/>
    </row>
    <row r="838" spans="1:9" ht="15.75">
      <c r="A838" s="26"/>
      <c r="D838" s="118"/>
      <c r="F838" s="283"/>
      <c r="G838" s="284"/>
      <c r="H838" s="169"/>
      <c r="I838" s="285"/>
    </row>
    <row r="839" spans="1:9" ht="15.75">
      <c r="A839" s="26"/>
      <c r="D839" s="118"/>
      <c r="F839" s="283"/>
      <c r="G839" s="284"/>
      <c r="H839" s="169"/>
      <c r="I839" s="285"/>
    </row>
    <row r="840" spans="1:9" ht="15.75">
      <c r="A840" s="26"/>
      <c r="D840" s="118"/>
      <c r="F840" s="283"/>
      <c r="G840" s="284"/>
      <c r="H840" s="169"/>
      <c r="I840" s="285"/>
    </row>
    <row r="841" spans="1:9" ht="15.75">
      <c r="A841" s="26"/>
      <c r="D841" s="118"/>
      <c r="F841" s="283"/>
      <c r="G841" s="284"/>
      <c r="H841" s="169"/>
      <c r="I841" s="285"/>
    </row>
    <row r="842" spans="1:9" ht="15.75">
      <c r="A842" s="26"/>
      <c r="D842" s="118"/>
      <c r="F842" s="283"/>
      <c r="G842" s="284"/>
      <c r="H842" s="169"/>
      <c r="I842" s="285"/>
    </row>
    <row r="843" spans="1:9" ht="15.75">
      <c r="A843" s="26"/>
      <c r="D843" s="118"/>
      <c r="F843" s="283"/>
      <c r="G843" s="284"/>
      <c r="H843" s="169"/>
      <c r="I843" s="285"/>
    </row>
    <row r="844" spans="1:9" ht="15.75">
      <c r="A844" s="26"/>
      <c r="D844" s="118"/>
      <c r="F844" s="283"/>
      <c r="G844" s="284"/>
      <c r="H844" s="169"/>
      <c r="I844" s="285"/>
    </row>
    <row r="845" spans="1:9" ht="15.75">
      <c r="A845" s="26"/>
      <c r="D845" s="118"/>
      <c r="F845" s="283"/>
      <c r="G845" s="284"/>
      <c r="H845" s="169"/>
      <c r="I845" s="285"/>
    </row>
    <row r="846" spans="1:9" ht="15.75">
      <c r="A846" s="26"/>
      <c r="D846" s="118"/>
      <c r="F846" s="283"/>
      <c r="G846" s="284"/>
      <c r="H846" s="169"/>
      <c r="I846" s="285"/>
    </row>
    <row r="847" spans="1:9" ht="15.75">
      <c r="A847" s="26"/>
      <c r="D847" s="118"/>
      <c r="F847" s="283"/>
      <c r="G847" s="284"/>
      <c r="H847" s="169"/>
      <c r="I847" s="285"/>
    </row>
    <row r="848" spans="1:9" ht="15.75">
      <c r="A848" s="26"/>
      <c r="D848" s="118"/>
      <c r="F848" s="283"/>
      <c r="G848" s="284"/>
      <c r="H848" s="169"/>
      <c r="I848" s="285"/>
    </row>
    <row r="849" spans="1:9" ht="15.75">
      <c r="A849" s="26"/>
      <c r="D849" s="118"/>
      <c r="F849" s="283"/>
      <c r="G849" s="284"/>
      <c r="H849" s="169"/>
      <c r="I849" s="285"/>
    </row>
    <row r="850" spans="1:9" ht="15.75">
      <c r="A850" s="26"/>
      <c r="D850" s="118"/>
      <c r="F850" s="283"/>
      <c r="G850" s="284"/>
      <c r="H850" s="169"/>
      <c r="I850" s="285"/>
    </row>
    <row r="851" spans="1:9" ht="15.75">
      <c r="A851" s="26"/>
      <c r="D851" s="118"/>
      <c r="F851" s="283"/>
      <c r="G851" s="284"/>
      <c r="H851" s="169"/>
      <c r="I851" s="285"/>
    </row>
    <row r="852" spans="1:9" ht="15.75">
      <c r="A852" s="26"/>
      <c r="D852" s="118"/>
      <c r="F852" s="283"/>
      <c r="G852" s="284"/>
      <c r="H852" s="169"/>
      <c r="I852" s="285"/>
    </row>
    <row r="853" spans="1:9" ht="15.75">
      <c r="A853" s="26"/>
      <c r="D853" s="118"/>
      <c r="F853" s="283"/>
      <c r="G853" s="284"/>
      <c r="H853" s="169"/>
      <c r="I853" s="285"/>
    </row>
    <row r="854" spans="1:9" ht="15.75">
      <c r="A854" s="26"/>
      <c r="D854" s="118"/>
      <c r="F854" s="283"/>
      <c r="G854" s="284"/>
      <c r="H854" s="169"/>
      <c r="I854" s="285"/>
    </row>
    <row r="855" spans="1:9" ht="15.75">
      <c r="A855" s="26"/>
      <c r="D855" s="118"/>
      <c r="F855" s="283"/>
      <c r="G855" s="284"/>
      <c r="H855" s="169"/>
      <c r="I855" s="285"/>
    </row>
    <row r="856" spans="1:9" ht="15.75">
      <c r="A856" s="26"/>
      <c r="D856" s="118"/>
      <c r="F856" s="283"/>
      <c r="G856" s="284"/>
      <c r="H856" s="169"/>
      <c r="I856" s="285"/>
    </row>
    <row r="857" spans="1:9" ht="15.75">
      <c r="A857" s="26"/>
      <c r="D857" s="118"/>
      <c r="F857" s="283"/>
      <c r="G857" s="284"/>
      <c r="H857" s="169"/>
      <c r="I857" s="285"/>
    </row>
    <row r="858" spans="1:9" ht="15.75">
      <c r="A858" s="26"/>
      <c r="D858" s="118"/>
      <c r="F858" s="283"/>
      <c r="G858" s="284"/>
      <c r="H858" s="169"/>
      <c r="I858" s="285"/>
    </row>
    <row r="859" spans="1:9" ht="15.75">
      <c r="A859" s="26"/>
      <c r="D859" s="118"/>
      <c r="F859" s="283"/>
      <c r="G859" s="284"/>
      <c r="H859" s="169"/>
      <c r="I859" s="285"/>
    </row>
    <row r="860" spans="1:9" ht="15.75">
      <c r="A860" s="26"/>
      <c r="D860" s="118"/>
      <c r="F860" s="283"/>
      <c r="G860" s="284"/>
      <c r="H860" s="169"/>
      <c r="I860" s="285"/>
    </row>
    <row r="861" spans="1:9" ht="15.75">
      <c r="A861" s="26"/>
      <c r="D861" s="118"/>
      <c r="F861" s="283"/>
      <c r="G861" s="284"/>
      <c r="H861" s="169"/>
      <c r="I861" s="285"/>
    </row>
    <row r="862" spans="1:9" ht="15.75">
      <c r="A862" s="26"/>
      <c r="D862" s="118"/>
      <c r="F862" s="283"/>
      <c r="G862" s="284"/>
      <c r="H862" s="169"/>
      <c r="I862" s="285"/>
    </row>
    <row r="863" spans="1:9" ht="15.75">
      <c r="A863" s="26"/>
      <c r="D863" s="118"/>
      <c r="F863" s="283"/>
      <c r="G863" s="284"/>
      <c r="H863" s="169"/>
      <c r="I863" s="285"/>
    </row>
    <row r="864" spans="1:9" ht="15.75">
      <c r="A864" s="26"/>
      <c r="D864" s="118"/>
      <c r="F864" s="283"/>
      <c r="G864" s="284"/>
      <c r="H864" s="169"/>
      <c r="I864" s="285"/>
    </row>
    <row r="865" spans="1:9" ht="15.75">
      <c r="A865" s="26"/>
      <c r="D865" s="118"/>
      <c r="F865" s="283"/>
      <c r="G865" s="284"/>
      <c r="H865" s="169"/>
      <c r="I865" s="285"/>
    </row>
    <row r="866" spans="1:9" ht="15.75">
      <c r="A866" s="26"/>
      <c r="D866" s="118"/>
      <c r="F866" s="283"/>
      <c r="G866" s="284"/>
      <c r="H866" s="169"/>
      <c r="I866" s="285"/>
    </row>
    <row r="867" spans="1:9" ht="15.75">
      <c r="A867" s="26"/>
      <c r="D867" s="118"/>
      <c r="F867" s="283"/>
      <c r="G867" s="284"/>
      <c r="H867" s="169"/>
      <c r="I867" s="285"/>
    </row>
    <row r="868" spans="1:9" ht="15.75">
      <c r="A868" s="26"/>
      <c r="D868" s="118"/>
      <c r="F868" s="283"/>
      <c r="G868" s="284"/>
      <c r="H868" s="169"/>
      <c r="I868" s="285"/>
    </row>
    <row r="869" spans="1:9" ht="15.75">
      <c r="A869" s="26"/>
      <c r="D869" s="118"/>
      <c r="F869" s="283"/>
      <c r="G869" s="284"/>
      <c r="H869" s="169"/>
      <c r="I869" s="285"/>
    </row>
    <row r="870" spans="1:9" ht="15.75">
      <c r="A870" s="26"/>
      <c r="D870" s="118"/>
      <c r="F870" s="283"/>
      <c r="G870" s="284"/>
      <c r="H870" s="169"/>
      <c r="I870" s="285"/>
    </row>
    <row r="871" spans="1:9" ht="15.75">
      <c r="A871" s="26"/>
      <c r="D871" s="118"/>
      <c r="F871" s="283"/>
      <c r="G871" s="284"/>
      <c r="H871" s="169"/>
      <c r="I871" s="285"/>
    </row>
    <row r="872" spans="1:9" ht="15.75">
      <c r="A872" s="26"/>
      <c r="D872" s="118"/>
      <c r="F872" s="283"/>
      <c r="G872" s="284"/>
      <c r="H872" s="169"/>
      <c r="I872" s="285"/>
    </row>
    <row r="873" spans="1:9" ht="15.75">
      <c r="A873" s="26"/>
      <c r="D873" s="118"/>
      <c r="F873" s="283"/>
      <c r="G873" s="284"/>
      <c r="H873" s="169"/>
      <c r="I873" s="285"/>
    </row>
    <row r="874" spans="1:9" ht="15.75">
      <c r="A874" s="26"/>
      <c r="D874" s="118"/>
      <c r="F874" s="283"/>
      <c r="G874" s="284"/>
      <c r="H874" s="169"/>
      <c r="I874" s="285"/>
    </row>
    <row r="875" spans="1:9" ht="15.75">
      <c r="A875" s="26"/>
      <c r="D875" s="118"/>
      <c r="F875" s="283"/>
      <c r="G875" s="284"/>
      <c r="H875" s="169"/>
      <c r="I875" s="285"/>
    </row>
    <row r="876" spans="1:9" ht="15.75">
      <c r="A876" s="26"/>
      <c r="D876" s="118"/>
      <c r="F876" s="283"/>
      <c r="G876" s="284"/>
      <c r="H876" s="169"/>
      <c r="I876" s="285"/>
    </row>
    <row r="877" spans="1:9" ht="15.75">
      <c r="A877" s="26"/>
      <c r="D877" s="118"/>
      <c r="F877" s="283"/>
      <c r="G877" s="284"/>
      <c r="H877" s="169"/>
      <c r="I877" s="285"/>
    </row>
    <row r="878" spans="1:9" ht="15.75">
      <c r="A878" s="26"/>
      <c r="D878" s="118"/>
      <c r="F878" s="283"/>
      <c r="G878" s="284"/>
      <c r="H878" s="169"/>
      <c r="I878" s="285"/>
    </row>
    <row r="879" spans="1:9" ht="15.75">
      <c r="A879" s="26"/>
      <c r="D879" s="118"/>
      <c r="F879" s="283"/>
      <c r="G879" s="284"/>
      <c r="H879" s="169"/>
      <c r="I879" s="285"/>
    </row>
    <row r="880" spans="1:9" ht="15.75">
      <c r="A880" s="26"/>
      <c r="D880" s="118"/>
      <c r="F880" s="283"/>
      <c r="G880" s="284"/>
      <c r="H880" s="169"/>
      <c r="I880" s="285"/>
    </row>
    <row r="881" spans="1:9" ht="15.75">
      <c r="A881" s="26"/>
      <c r="D881" s="118"/>
      <c r="F881" s="283"/>
      <c r="G881" s="284"/>
      <c r="H881" s="169"/>
      <c r="I881" s="285"/>
    </row>
    <row r="882" spans="1:9" ht="15.75">
      <c r="A882" s="26"/>
      <c r="D882" s="118"/>
      <c r="F882" s="283"/>
      <c r="G882" s="284"/>
      <c r="H882" s="169"/>
      <c r="I882" s="285"/>
    </row>
    <row r="883" spans="1:9" ht="15.75">
      <c r="A883" s="26"/>
      <c r="D883" s="118"/>
      <c r="F883" s="283"/>
      <c r="G883" s="284"/>
      <c r="H883" s="169"/>
      <c r="I883" s="285"/>
    </row>
    <row r="884" spans="1:9" ht="15.75">
      <c r="A884" s="26"/>
      <c r="D884" s="118"/>
      <c r="F884" s="283"/>
      <c r="G884" s="284"/>
      <c r="H884" s="169"/>
      <c r="I884" s="285"/>
    </row>
    <row r="885" spans="1:9" ht="15.75">
      <c r="A885" s="26"/>
      <c r="D885" s="118"/>
      <c r="F885" s="283"/>
      <c r="G885" s="284"/>
      <c r="H885" s="169"/>
      <c r="I885" s="285"/>
    </row>
    <row r="886" spans="1:9" ht="15.75">
      <c r="A886" s="26"/>
      <c r="D886" s="118"/>
      <c r="F886" s="283"/>
      <c r="G886" s="284"/>
      <c r="H886" s="169"/>
      <c r="I886" s="285"/>
    </row>
    <row r="887" spans="1:9" ht="15.75">
      <c r="A887" s="26"/>
      <c r="D887" s="118"/>
      <c r="F887" s="283"/>
      <c r="G887" s="284"/>
      <c r="H887" s="169"/>
      <c r="I887" s="285"/>
    </row>
    <row r="888" spans="1:9" ht="15.75">
      <c r="A888" s="26"/>
      <c r="D888" s="118"/>
      <c r="F888" s="283"/>
      <c r="G888" s="284"/>
      <c r="H888" s="169"/>
      <c r="I888" s="285"/>
    </row>
    <row r="889" spans="1:9" ht="15.75">
      <c r="A889" s="26"/>
      <c r="D889" s="118"/>
      <c r="F889" s="283"/>
      <c r="G889" s="284"/>
      <c r="H889" s="169"/>
      <c r="I889" s="285"/>
    </row>
    <row r="890" spans="1:9" ht="15.75">
      <c r="A890" s="26"/>
      <c r="D890" s="118"/>
      <c r="F890" s="283"/>
      <c r="G890" s="284"/>
      <c r="H890" s="169"/>
      <c r="I890" s="285"/>
    </row>
    <row r="891" spans="1:9" ht="15.75">
      <c r="A891" s="26"/>
      <c r="D891" s="118"/>
      <c r="F891" s="283"/>
      <c r="G891" s="284"/>
      <c r="H891" s="169"/>
      <c r="I891" s="285"/>
    </row>
    <row r="892" spans="1:9" ht="15.75">
      <c r="A892" s="26"/>
      <c r="D892" s="118"/>
      <c r="F892" s="283"/>
      <c r="G892" s="284"/>
      <c r="H892" s="169"/>
      <c r="I892" s="285"/>
    </row>
    <row r="893" spans="1:9" ht="15.75">
      <c r="A893" s="26"/>
      <c r="D893" s="118"/>
      <c r="F893" s="283"/>
      <c r="G893" s="284"/>
      <c r="H893" s="169"/>
      <c r="I893" s="285"/>
    </row>
    <row r="894" spans="1:9" ht="15.75">
      <c r="A894" s="26"/>
      <c r="D894" s="118"/>
      <c r="F894" s="283"/>
      <c r="G894" s="284"/>
      <c r="H894" s="169"/>
      <c r="I894" s="285"/>
    </row>
    <row r="895" spans="1:9" ht="15.75">
      <c r="A895" s="26"/>
      <c r="D895" s="118"/>
      <c r="F895" s="283"/>
      <c r="G895" s="284"/>
      <c r="H895" s="169"/>
      <c r="I895" s="285"/>
    </row>
    <row r="896" spans="1:9" ht="15.75">
      <c r="A896" s="26"/>
      <c r="D896" s="118"/>
      <c r="F896" s="283"/>
      <c r="G896" s="284"/>
      <c r="H896" s="169"/>
      <c r="I896" s="285"/>
    </row>
    <row r="897" spans="1:9" ht="15.75">
      <c r="A897" s="26"/>
      <c r="D897" s="118"/>
      <c r="F897" s="283"/>
      <c r="G897" s="284"/>
      <c r="H897" s="169"/>
      <c r="I897" s="285"/>
    </row>
    <row r="898" spans="1:9" ht="15.75">
      <c r="A898" s="26"/>
      <c r="D898" s="118"/>
      <c r="F898" s="283"/>
      <c r="G898" s="284"/>
      <c r="H898" s="169"/>
      <c r="I898" s="285"/>
    </row>
    <row r="899" spans="1:9" ht="15.75">
      <c r="A899" s="26"/>
      <c r="D899" s="118"/>
      <c r="F899" s="283"/>
      <c r="G899" s="284"/>
      <c r="H899" s="169"/>
      <c r="I899" s="285"/>
    </row>
    <row r="900" spans="1:9" ht="15.75">
      <c r="A900" s="26"/>
      <c r="D900" s="118"/>
      <c r="F900" s="283"/>
      <c r="G900" s="284"/>
      <c r="H900" s="169"/>
      <c r="I900" s="285"/>
    </row>
    <row r="901" spans="1:9" ht="15.75">
      <c r="A901" s="26"/>
      <c r="D901" s="118"/>
      <c r="F901" s="283"/>
      <c r="G901" s="284"/>
      <c r="H901" s="169"/>
      <c r="I901" s="285"/>
    </row>
    <row r="902" spans="1:9" ht="15.75">
      <c r="A902" s="26"/>
      <c r="D902" s="118"/>
      <c r="F902" s="283"/>
      <c r="G902" s="284"/>
      <c r="H902" s="169"/>
      <c r="I902" s="285"/>
    </row>
    <row r="903" spans="1:9" ht="15.75">
      <c r="A903" s="26"/>
      <c r="D903" s="118"/>
      <c r="F903" s="283"/>
      <c r="G903" s="284"/>
      <c r="H903" s="169"/>
      <c r="I903" s="285"/>
    </row>
    <row r="904" spans="1:9" ht="15.75">
      <c r="A904" s="26"/>
      <c r="D904" s="118"/>
      <c r="F904" s="283"/>
      <c r="G904" s="284"/>
      <c r="H904" s="169"/>
      <c r="I904" s="285"/>
    </row>
    <row r="905" spans="1:9" ht="15.75">
      <c r="A905" s="26"/>
      <c r="D905" s="118"/>
      <c r="F905" s="283"/>
      <c r="G905" s="284"/>
      <c r="H905" s="169"/>
      <c r="I905" s="285"/>
    </row>
    <row r="906" spans="1:9" ht="15.75">
      <c r="A906" s="26"/>
      <c r="D906" s="118"/>
      <c r="F906" s="283"/>
      <c r="G906" s="284"/>
      <c r="H906" s="169"/>
      <c r="I906" s="285"/>
    </row>
    <row r="907" spans="1:9" ht="15.75">
      <c r="A907" s="26"/>
      <c r="D907" s="118"/>
      <c r="F907" s="283"/>
      <c r="G907" s="284"/>
      <c r="H907" s="169"/>
      <c r="I907" s="285"/>
    </row>
    <row r="908" spans="1:9" ht="15.75">
      <c r="A908" s="26"/>
      <c r="D908" s="118"/>
      <c r="F908" s="283"/>
      <c r="G908" s="284"/>
      <c r="H908" s="169"/>
      <c r="I908" s="285"/>
    </row>
    <row r="909" spans="1:9" ht="15.75">
      <c r="A909" s="26"/>
      <c r="D909" s="118"/>
      <c r="F909" s="283"/>
      <c r="G909" s="284"/>
      <c r="H909" s="169"/>
      <c r="I909" s="285"/>
    </row>
    <row r="910" spans="1:9" ht="15.75">
      <c r="A910" s="26"/>
      <c r="D910" s="118"/>
      <c r="F910" s="283"/>
      <c r="G910" s="284"/>
      <c r="H910" s="169"/>
      <c r="I910" s="285"/>
    </row>
    <row r="911" spans="1:9" ht="15.75">
      <c r="A911" s="26"/>
      <c r="D911" s="118"/>
      <c r="F911" s="283"/>
      <c r="G911" s="284"/>
      <c r="H911" s="169"/>
      <c r="I911" s="285"/>
    </row>
    <row r="912" spans="1:9" ht="15.75">
      <c r="A912" s="26"/>
      <c r="D912" s="118"/>
      <c r="F912" s="283"/>
      <c r="G912" s="284"/>
      <c r="H912" s="169"/>
      <c r="I912" s="285"/>
    </row>
    <row r="913" spans="1:9" ht="15.75">
      <c r="A913" s="26"/>
      <c r="D913" s="118"/>
      <c r="F913" s="283"/>
      <c r="G913" s="284"/>
      <c r="H913" s="169"/>
      <c r="I913" s="285"/>
    </row>
    <row r="914" spans="1:9" ht="15.75">
      <c r="A914" s="26"/>
      <c r="D914" s="118"/>
      <c r="F914" s="283"/>
      <c r="G914" s="284"/>
      <c r="H914" s="169"/>
      <c r="I914" s="285"/>
    </row>
    <row r="915" spans="1:9" ht="15.75">
      <c r="A915" s="26"/>
      <c r="D915" s="118"/>
      <c r="F915" s="283"/>
      <c r="G915" s="284"/>
      <c r="H915" s="169"/>
      <c r="I915" s="285"/>
    </row>
    <row r="916" spans="1:9" ht="15.75">
      <c r="A916" s="26"/>
      <c r="D916" s="118"/>
      <c r="F916" s="283"/>
      <c r="G916" s="284"/>
      <c r="H916" s="169"/>
      <c r="I916" s="285"/>
    </row>
    <row r="917" spans="1:9" ht="15.75">
      <c r="A917" s="26"/>
      <c r="D917" s="118"/>
      <c r="F917" s="283"/>
      <c r="G917" s="284"/>
      <c r="H917" s="169"/>
      <c r="I917" s="285"/>
    </row>
    <row r="918" spans="1:9" ht="15.75">
      <c r="A918" s="26"/>
      <c r="D918" s="118"/>
      <c r="F918" s="283"/>
      <c r="G918" s="284"/>
      <c r="H918" s="169"/>
      <c r="I918" s="285"/>
    </row>
    <row r="919" spans="1:9" ht="15.75">
      <c r="A919" s="26"/>
      <c r="D919" s="118"/>
      <c r="F919" s="283"/>
      <c r="G919" s="284"/>
      <c r="H919" s="169"/>
      <c r="I919" s="285"/>
    </row>
    <row r="920" spans="1:9" ht="15.75">
      <c r="A920" s="26"/>
      <c r="D920" s="118"/>
      <c r="F920" s="283"/>
      <c r="G920" s="284"/>
      <c r="H920" s="169"/>
      <c r="I920" s="285"/>
    </row>
    <row r="921" spans="1:9" ht="15.75">
      <c r="A921" s="26"/>
      <c r="D921" s="118"/>
      <c r="F921" s="283"/>
      <c r="G921" s="284"/>
      <c r="H921" s="169"/>
      <c r="I921" s="285"/>
    </row>
    <row r="922" spans="1:9" ht="15.75">
      <c r="A922" s="26"/>
      <c r="D922" s="118"/>
      <c r="F922" s="283"/>
      <c r="G922" s="284"/>
      <c r="H922" s="169"/>
      <c r="I922" s="285"/>
    </row>
    <row r="923" spans="1:9" ht="15.75">
      <c r="A923" s="26"/>
      <c r="D923" s="118"/>
      <c r="F923" s="283"/>
      <c r="G923" s="284"/>
      <c r="H923" s="169"/>
      <c r="I923" s="285"/>
    </row>
    <row r="924" spans="1:9" ht="15.75">
      <c r="A924" s="26"/>
      <c r="D924" s="118"/>
      <c r="F924" s="283"/>
      <c r="G924" s="284"/>
      <c r="H924" s="169"/>
      <c r="I924" s="285"/>
    </row>
    <row r="925" spans="1:9" ht="15.75">
      <c r="A925" s="26"/>
      <c r="D925" s="118"/>
      <c r="F925" s="283"/>
      <c r="G925" s="284"/>
      <c r="H925" s="169"/>
      <c r="I925" s="285"/>
    </row>
    <row r="926" spans="1:9" ht="15.75">
      <c r="A926" s="26"/>
      <c r="D926" s="118"/>
      <c r="F926" s="283"/>
      <c r="G926" s="284"/>
      <c r="H926" s="169"/>
      <c r="I926" s="285"/>
    </row>
    <row r="927" spans="1:9" ht="15.75">
      <c r="A927" s="26"/>
      <c r="D927" s="118"/>
      <c r="F927" s="283"/>
      <c r="G927" s="284"/>
      <c r="H927" s="169"/>
      <c r="I927" s="285"/>
    </row>
    <row r="928" spans="1:9" ht="15.75">
      <c r="A928" s="26"/>
      <c r="D928" s="118"/>
      <c r="F928" s="283"/>
      <c r="G928" s="284"/>
      <c r="H928" s="169"/>
      <c r="I928" s="285"/>
    </row>
    <row r="929" spans="1:9" ht="15.75">
      <c r="A929" s="26"/>
      <c r="D929" s="118"/>
      <c r="F929" s="283"/>
      <c r="G929" s="284"/>
      <c r="H929" s="169"/>
      <c r="I929" s="285"/>
    </row>
    <row r="930" spans="1:9" ht="15.75">
      <c r="A930" s="26"/>
      <c r="D930" s="118"/>
      <c r="F930" s="283"/>
      <c r="G930" s="284"/>
      <c r="H930" s="169"/>
      <c r="I930" s="285"/>
    </row>
    <row r="931" spans="1:9" ht="15.75">
      <c r="A931" s="26"/>
      <c r="D931" s="118"/>
      <c r="F931" s="283"/>
      <c r="G931" s="284"/>
      <c r="H931" s="169"/>
      <c r="I931" s="285"/>
    </row>
    <row r="932" spans="1:9" ht="15.75">
      <c r="A932" s="26"/>
      <c r="D932" s="118"/>
      <c r="F932" s="283"/>
      <c r="G932" s="284"/>
      <c r="H932" s="169"/>
      <c r="I932" s="285"/>
    </row>
    <row r="933" spans="1:9" ht="15.75">
      <c r="A933" s="26"/>
      <c r="D933" s="118"/>
      <c r="F933" s="283"/>
      <c r="G933" s="284"/>
      <c r="H933" s="169"/>
      <c r="I933" s="285"/>
    </row>
    <row r="934" spans="1:9" ht="15.75">
      <c r="A934" s="26"/>
      <c r="D934" s="118"/>
      <c r="F934" s="283"/>
      <c r="G934" s="284"/>
      <c r="H934" s="169"/>
      <c r="I934" s="285"/>
    </row>
    <row r="935" spans="1:9" ht="15.75">
      <c r="A935" s="26"/>
      <c r="D935" s="118"/>
      <c r="F935" s="283"/>
      <c r="G935" s="284"/>
      <c r="H935" s="169"/>
      <c r="I935" s="285"/>
    </row>
    <row r="936" spans="1:9" ht="15.75">
      <c r="A936" s="26"/>
      <c r="D936" s="118"/>
      <c r="F936" s="283"/>
      <c r="G936" s="284"/>
      <c r="H936" s="169"/>
      <c r="I936" s="285"/>
    </row>
    <row r="937" spans="1:9" ht="15.75">
      <c r="A937" s="26"/>
      <c r="D937" s="118"/>
      <c r="F937" s="283"/>
      <c r="G937" s="284"/>
      <c r="H937" s="169"/>
      <c r="I937" s="285"/>
    </row>
    <row r="938" spans="1:9" ht="15.75">
      <c r="A938" s="26"/>
      <c r="D938" s="118"/>
      <c r="F938" s="283"/>
      <c r="G938" s="284"/>
      <c r="H938" s="169"/>
      <c r="I938" s="285"/>
    </row>
    <row r="939" spans="1:9" ht="15.75">
      <c r="A939" s="26"/>
      <c r="D939" s="118"/>
      <c r="F939" s="283"/>
      <c r="G939" s="284"/>
      <c r="H939" s="169"/>
      <c r="I939" s="285"/>
    </row>
    <row r="940" spans="1:9" ht="15.75">
      <c r="A940" s="26"/>
      <c r="D940" s="118"/>
      <c r="F940" s="283"/>
      <c r="G940" s="284"/>
      <c r="H940" s="169"/>
      <c r="I940" s="285"/>
    </row>
    <row r="941" spans="1:9" ht="15.75">
      <c r="A941" s="26"/>
      <c r="D941" s="118"/>
      <c r="F941" s="283"/>
      <c r="G941" s="284"/>
      <c r="H941" s="169"/>
      <c r="I941" s="285"/>
    </row>
    <row r="942" spans="1:9" ht="15.75">
      <c r="A942" s="26"/>
      <c r="D942" s="118"/>
      <c r="F942" s="283"/>
      <c r="G942" s="284"/>
      <c r="H942" s="169"/>
      <c r="I942" s="285"/>
    </row>
    <row r="943" spans="1:9" ht="15.75">
      <c r="A943" s="26"/>
      <c r="D943" s="118"/>
      <c r="F943" s="283"/>
      <c r="G943" s="284"/>
      <c r="H943" s="169"/>
      <c r="I943" s="285"/>
    </row>
    <row r="944" spans="1:9" ht="15.75">
      <c r="A944" s="26"/>
      <c r="D944" s="118"/>
      <c r="F944" s="283"/>
      <c r="G944" s="284"/>
      <c r="H944" s="169"/>
      <c r="I944" s="285"/>
    </row>
    <row r="945" spans="1:9" ht="15.75">
      <c r="A945" s="26"/>
      <c r="D945" s="118"/>
      <c r="F945" s="283"/>
      <c r="G945" s="284"/>
      <c r="H945" s="169"/>
      <c r="I945" s="285"/>
    </row>
    <row r="946" spans="1:9" ht="15.75">
      <c r="A946" s="26"/>
      <c r="D946" s="118"/>
      <c r="F946" s="283"/>
      <c r="G946" s="284"/>
      <c r="H946" s="169"/>
      <c r="I946" s="285"/>
    </row>
    <row r="947" spans="1:9" ht="15.75">
      <c r="A947" s="26"/>
      <c r="D947" s="118"/>
      <c r="F947" s="283"/>
      <c r="G947" s="284"/>
      <c r="H947" s="169"/>
      <c r="I947" s="285"/>
    </row>
    <row r="948" spans="1:9" ht="15.75">
      <c r="A948" s="26"/>
      <c r="D948" s="118"/>
      <c r="F948" s="283"/>
      <c r="G948" s="284"/>
      <c r="H948" s="169"/>
      <c r="I948" s="285"/>
    </row>
    <row r="949" spans="1:9" ht="15.75">
      <c r="A949" s="26"/>
      <c r="D949" s="118"/>
      <c r="F949" s="283"/>
      <c r="G949" s="284"/>
      <c r="H949" s="169"/>
      <c r="I949" s="285"/>
    </row>
    <row r="950" spans="1:9" ht="15.75">
      <c r="A950" s="26"/>
      <c r="D950" s="118"/>
      <c r="F950" s="283"/>
      <c r="G950" s="284"/>
      <c r="H950" s="169"/>
      <c r="I950" s="285"/>
    </row>
    <row r="951" spans="1:9" ht="15.75">
      <c r="A951" s="26"/>
      <c r="D951" s="118"/>
      <c r="F951" s="283"/>
      <c r="G951" s="284"/>
      <c r="H951" s="169"/>
      <c r="I951" s="285"/>
    </row>
    <row r="952" spans="1:9" ht="15.75">
      <c r="A952" s="26"/>
      <c r="D952" s="118"/>
      <c r="F952" s="283"/>
      <c r="G952" s="284"/>
      <c r="H952" s="169"/>
      <c r="I952" s="285"/>
    </row>
    <row r="953" spans="1:9" ht="15.75">
      <c r="A953" s="26"/>
      <c r="D953" s="118"/>
      <c r="F953" s="283"/>
      <c r="G953" s="284"/>
      <c r="H953" s="169"/>
      <c r="I953" s="285"/>
    </row>
    <row r="954" spans="1:9" ht="15.75">
      <c r="A954" s="26"/>
      <c r="D954" s="118"/>
      <c r="F954" s="283"/>
      <c r="G954" s="284"/>
      <c r="H954" s="169"/>
      <c r="I954" s="285"/>
    </row>
    <row r="955" spans="1:9" ht="15.75">
      <c r="A955" s="26"/>
      <c r="D955" s="118"/>
      <c r="F955" s="283"/>
      <c r="G955" s="284"/>
      <c r="H955" s="169"/>
      <c r="I955" s="285"/>
    </row>
    <row r="956" spans="1:9" ht="15.75">
      <c r="A956" s="26"/>
      <c r="D956" s="118"/>
      <c r="F956" s="283"/>
      <c r="G956" s="284"/>
      <c r="H956" s="169"/>
      <c r="I956" s="285"/>
    </row>
    <row r="957" spans="1:9" ht="15.75">
      <c r="A957" s="26"/>
      <c r="D957" s="118"/>
      <c r="F957" s="283"/>
      <c r="G957" s="284"/>
      <c r="H957" s="169"/>
      <c r="I957" s="285"/>
    </row>
    <row r="958" spans="1:9" ht="15.75">
      <c r="A958" s="26"/>
      <c r="D958" s="118"/>
      <c r="F958" s="283"/>
      <c r="G958" s="284"/>
      <c r="H958" s="169"/>
      <c r="I958" s="285"/>
    </row>
    <row r="959" spans="1:9" ht="15.75">
      <c r="A959" s="26"/>
      <c r="D959" s="118"/>
      <c r="F959" s="283"/>
      <c r="G959" s="284"/>
      <c r="H959" s="169"/>
      <c r="I959" s="285"/>
    </row>
    <row r="960" spans="1:9" ht="15.75">
      <c r="A960" s="26"/>
      <c r="D960" s="118"/>
      <c r="F960" s="283"/>
      <c r="G960" s="284"/>
      <c r="H960" s="169"/>
      <c r="I960" s="285"/>
    </row>
    <row r="961" spans="1:9" ht="15.75">
      <c r="A961" s="26"/>
      <c r="D961" s="118"/>
      <c r="F961" s="283"/>
      <c r="G961" s="284"/>
      <c r="H961" s="169"/>
      <c r="I961" s="285"/>
    </row>
    <row r="962" spans="1:9" ht="15.75">
      <c r="A962" s="26"/>
      <c r="D962" s="118"/>
      <c r="F962" s="283"/>
      <c r="G962" s="284"/>
      <c r="H962" s="169"/>
      <c r="I962" s="285"/>
    </row>
    <row r="963" spans="1:9" ht="15.75">
      <c r="A963" s="26"/>
      <c r="D963" s="118"/>
      <c r="F963" s="283"/>
      <c r="G963" s="284"/>
      <c r="H963" s="169"/>
      <c r="I963" s="285"/>
    </row>
    <row r="964" spans="1:9" ht="15.75">
      <c r="A964" s="26"/>
      <c r="D964" s="118"/>
      <c r="F964" s="283"/>
      <c r="G964" s="284"/>
      <c r="H964" s="169"/>
      <c r="I964" s="285"/>
    </row>
    <row r="965" spans="1:9" ht="15.75">
      <c r="A965" s="26"/>
      <c r="D965" s="118"/>
      <c r="F965" s="283"/>
      <c r="G965" s="284"/>
      <c r="H965" s="169"/>
      <c r="I965" s="285"/>
    </row>
    <row r="966" spans="1:9" ht="15.75">
      <c r="A966" s="26"/>
      <c r="D966" s="118"/>
      <c r="F966" s="283"/>
      <c r="G966" s="284"/>
      <c r="H966" s="169"/>
      <c r="I966" s="285"/>
    </row>
    <row r="967" spans="1:9" ht="15.75">
      <c r="A967" s="26"/>
      <c r="D967" s="118"/>
      <c r="F967" s="283"/>
      <c r="G967" s="284"/>
      <c r="H967" s="169"/>
      <c r="I967" s="285"/>
    </row>
    <row r="968" spans="1:9" ht="15.75">
      <c r="A968" s="26"/>
      <c r="D968" s="118"/>
      <c r="F968" s="283"/>
      <c r="G968" s="284"/>
      <c r="H968" s="169"/>
      <c r="I968" s="285"/>
    </row>
    <row r="969" spans="1:9" ht="15.75">
      <c r="A969" s="26"/>
      <c r="D969" s="118"/>
      <c r="F969" s="283"/>
      <c r="G969" s="284"/>
      <c r="H969" s="169"/>
      <c r="I969" s="285"/>
    </row>
    <row r="970" spans="1:9" ht="15.75">
      <c r="A970" s="26"/>
      <c r="D970" s="118"/>
      <c r="F970" s="283"/>
      <c r="G970" s="284"/>
      <c r="H970" s="169"/>
      <c r="I970" s="285"/>
    </row>
    <row r="971" spans="1:9" ht="15.75">
      <c r="A971" s="26"/>
      <c r="D971" s="118"/>
      <c r="F971" s="283"/>
      <c r="G971" s="284"/>
      <c r="H971" s="169"/>
      <c r="I971" s="285"/>
    </row>
    <row r="972" spans="1:9" ht="15.75">
      <c r="A972" s="26"/>
      <c r="D972" s="118"/>
      <c r="F972" s="283"/>
      <c r="G972" s="284"/>
      <c r="H972" s="169"/>
      <c r="I972" s="285"/>
    </row>
    <row r="973" spans="1:9" ht="15.75">
      <c r="A973" s="26"/>
      <c r="D973" s="118"/>
      <c r="F973" s="283"/>
      <c r="G973" s="284"/>
      <c r="H973" s="169"/>
      <c r="I973" s="285"/>
    </row>
    <row r="974" spans="1:9" ht="15.75">
      <c r="A974" s="26"/>
      <c r="D974" s="118"/>
      <c r="F974" s="283"/>
      <c r="G974" s="284"/>
      <c r="H974" s="169"/>
      <c r="I974" s="285"/>
    </row>
    <row r="975" spans="1:9" ht="15.75">
      <c r="A975" s="26"/>
      <c r="D975" s="118"/>
      <c r="F975" s="283"/>
      <c r="G975" s="284"/>
      <c r="H975" s="169"/>
      <c r="I975" s="285"/>
    </row>
    <row r="976" spans="1:9" ht="15.75">
      <c r="A976" s="26"/>
      <c r="D976" s="118"/>
      <c r="F976" s="283"/>
      <c r="G976" s="284"/>
      <c r="H976" s="169"/>
      <c r="I976" s="285"/>
    </row>
    <row r="977" spans="1:9" ht="15.75">
      <c r="A977" s="26"/>
      <c r="D977" s="118"/>
      <c r="F977" s="283"/>
      <c r="G977" s="284"/>
      <c r="H977" s="169"/>
      <c r="I977" s="285"/>
    </row>
    <row r="978" spans="1:9" ht="15.75">
      <c r="A978" s="26"/>
      <c r="D978" s="118"/>
      <c r="F978" s="283"/>
      <c r="G978" s="284"/>
      <c r="H978" s="169"/>
      <c r="I978" s="285"/>
    </row>
    <row r="979" spans="1:9" ht="15.75">
      <c r="A979" s="26"/>
      <c r="D979" s="118"/>
      <c r="F979" s="283"/>
      <c r="G979" s="284"/>
      <c r="H979" s="169"/>
      <c r="I979" s="285"/>
    </row>
    <row r="980" spans="1:9" ht="15.75">
      <c r="A980" s="26"/>
      <c r="D980" s="118"/>
      <c r="F980" s="283"/>
      <c r="G980" s="284"/>
      <c r="H980" s="169"/>
      <c r="I980" s="285"/>
    </row>
    <row r="981" spans="1:9" ht="15.75">
      <c r="A981" s="26"/>
      <c r="D981" s="118"/>
      <c r="F981" s="283"/>
      <c r="G981" s="284"/>
      <c r="H981" s="169"/>
      <c r="I981" s="285"/>
    </row>
    <row r="982" spans="1:9" ht="15.75">
      <c r="A982" s="26"/>
      <c r="D982" s="118"/>
      <c r="F982" s="283"/>
      <c r="G982" s="284"/>
      <c r="H982" s="169"/>
      <c r="I982" s="285"/>
    </row>
    <row r="983" spans="1:9" ht="15.75">
      <c r="A983" s="26"/>
      <c r="D983" s="118"/>
      <c r="F983" s="283"/>
      <c r="G983" s="284"/>
      <c r="H983" s="169"/>
      <c r="I983" s="285"/>
    </row>
    <row r="984" spans="1:9" ht="15.75">
      <c r="A984" s="26"/>
      <c r="D984" s="118"/>
      <c r="F984" s="283"/>
      <c r="G984" s="284"/>
      <c r="H984" s="169"/>
      <c r="I984" s="285"/>
    </row>
    <row r="985" spans="1:9" ht="15.75">
      <c r="A985" s="26"/>
      <c r="D985" s="118"/>
      <c r="F985" s="283"/>
      <c r="G985" s="284"/>
      <c r="H985" s="169"/>
      <c r="I985" s="285"/>
    </row>
    <row r="986" spans="1:9" ht="15.75">
      <c r="A986" s="26"/>
      <c r="D986" s="118"/>
      <c r="F986" s="283"/>
      <c r="G986" s="284"/>
      <c r="H986" s="169"/>
      <c r="I986" s="285"/>
    </row>
    <row r="987" spans="1:9" ht="15.75">
      <c r="A987" s="26"/>
      <c r="D987" s="118"/>
      <c r="F987" s="283"/>
      <c r="G987" s="284"/>
      <c r="H987" s="169"/>
      <c r="I987" s="285"/>
    </row>
    <row r="988" spans="1:9" ht="15.75">
      <c r="A988" s="26"/>
      <c r="D988" s="118"/>
      <c r="F988" s="283"/>
      <c r="G988" s="284"/>
      <c r="H988" s="169"/>
      <c r="I988" s="285"/>
    </row>
    <row r="989" spans="1:9" ht="15.75">
      <c r="A989" s="26"/>
      <c r="D989" s="118"/>
      <c r="F989" s="283"/>
      <c r="G989" s="284"/>
      <c r="H989" s="169"/>
      <c r="I989" s="285"/>
    </row>
    <row r="990" spans="1:9" ht="15.75">
      <c r="A990" s="26"/>
      <c r="D990" s="118"/>
      <c r="F990" s="283"/>
      <c r="G990" s="284"/>
      <c r="H990" s="169"/>
      <c r="I990" s="285"/>
    </row>
    <row r="991" spans="1:9" ht="15.75">
      <c r="A991" s="26"/>
      <c r="D991" s="118"/>
      <c r="F991" s="283"/>
      <c r="G991" s="284"/>
      <c r="H991" s="169"/>
      <c r="I991" s="285"/>
    </row>
    <row r="992" spans="1:9" ht="15.75">
      <c r="A992" s="26"/>
      <c r="D992" s="118"/>
      <c r="F992" s="283"/>
      <c r="G992" s="284"/>
      <c r="H992" s="169"/>
      <c r="I992" s="285"/>
    </row>
    <row r="993" spans="1:9" ht="15.75">
      <c r="A993" s="26"/>
      <c r="D993" s="118"/>
      <c r="F993" s="283"/>
      <c r="G993" s="284"/>
      <c r="H993" s="169"/>
      <c r="I993" s="285"/>
    </row>
    <row r="994" spans="1:9" ht="15.75">
      <c r="A994" s="26"/>
      <c r="D994" s="118"/>
      <c r="F994" s="283"/>
      <c r="G994" s="284"/>
      <c r="H994" s="169"/>
      <c r="I994" s="285"/>
    </row>
    <row r="995" spans="1:9" ht="15.75">
      <c r="A995" s="26"/>
      <c r="D995" s="118"/>
      <c r="F995" s="283"/>
      <c r="G995" s="284"/>
      <c r="H995" s="169"/>
      <c r="I995" s="285"/>
    </row>
    <row r="996" spans="1:9" ht="15.75">
      <c r="A996" s="26"/>
      <c r="D996" s="118"/>
      <c r="F996" s="283"/>
      <c r="G996" s="284"/>
      <c r="H996" s="169"/>
      <c r="I996" s="285"/>
    </row>
    <row r="997" spans="1:9" ht="15.75">
      <c r="A997" s="26"/>
      <c r="D997" s="118"/>
      <c r="F997" s="283"/>
      <c r="G997" s="284"/>
      <c r="H997" s="169"/>
      <c r="I997" s="285"/>
    </row>
    <row r="998" spans="1:9" ht="15.75">
      <c r="A998" s="26"/>
      <c r="D998" s="118"/>
      <c r="F998" s="283"/>
      <c r="G998" s="284"/>
      <c r="H998" s="169"/>
      <c r="I998" s="285"/>
    </row>
    <row r="999" spans="1:9" ht="15.75">
      <c r="A999" s="26"/>
      <c r="D999" s="118"/>
      <c r="F999" s="283"/>
      <c r="G999" s="284"/>
      <c r="H999" s="169"/>
      <c r="I999" s="285"/>
    </row>
    <row r="1000" spans="1:9" ht="15.75">
      <c r="A1000" s="26"/>
      <c r="D1000" s="118"/>
      <c r="F1000" s="283"/>
      <c r="G1000" s="284"/>
      <c r="H1000" s="169"/>
      <c r="I1000" s="285"/>
    </row>
    <row r="1001" spans="1:9" ht="15.75">
      <c r="A1001" s="26"/>
      <c r="D1001" s="118"/>
      <c r="F1001" s="283"/>
      <c r="G1001" s="284"/>
      <c r="H1001" s="169"/>
      <c r="I1001" s="285"/>
    </row>
    <row r="1002" spans="1:9" ht="15.75">
      <c r="A1002" s="26"/>
      <c r="D1002" s="118"/>
      <c r="F1002" s="283"/>
      <c r="G1002" s="284"/>
      <c r="H1002" s="169"/>
      <c r="I1002" s="285"/>
    </row>
    <row r="1003" spans="1:9" ht="15.75">
      <c r="A1003" s="26"/>
      <c r="D1003" s="118"/>
      <c r="F1003" s="283"/>
      <c r="G1003" s="284"/>
      <c r="H1003" s="169"/>
      <c r="I1003" s="285"/>
    </row>
    <row r="1004" spans="1:9" ht="15.75">
      <c r="A1004" s="26"/>
      <c r="D1004" s="118"/>
      <c r="F1004" s="283"/>
      <c r="G1004" s="284"/>
      <c r="H1004" s="169"/>
      <c r="I1004" s="285"/>
    </row>
    <row r="1005" spans="1:9" ht="15.75">
      <c r="A1005" s="26"/>
      <c r="D1005" s="118"/>
      <c r="F1005" s="283"/>
      <c r="G1005" s="284"/>
      <c r="H1005" s="169"/>
      <c r="I1005" s="285"/>
    </row>
    <row r="1006" spans="1:9" ht="15.75">
      <c r="A1006" s="26"/>
      <c r="D1006" s="118"/>
      <c r="F1006" s="283"/>
      <c r="G1006" s="284"/>
      <c r="H1006" s="169"/>
      <c r="I1006" s="285"/>
    </row>
  </sheetData>
  <mergeCells count="129">
    <mergeCell ref="A33:A36"/>
    <mergeCell ref="B33:B36"/>
    <mergeCell ref="C34:C36"/>
    <mergeCell ref="A37:A42"/>
    <mergeCell ref="B37:B42"/>
    <mergeCell ref="C38:C42"/>
    <mergeCell ref="A1:I1"/>
    <mergeCell ref="A2:I2"/>
    <mergeCell ref="B3:D3"/>
    <mergeCell ref="A4:A32"/>
    <mergeCell ref="B4:B32"/>
    <mergeCell ref="C4:C28"/>
    <mergeCell ref="I5:I27"/>
    <mergeCell ref="C29:C32"/>
    <mergeCell ref="A55:A58"/>
    <mergeCell ref="B55:B58"/>
    <mergeCell ref="C55:C56"/>
    <mergeCell ref="C57:C58"/>
    <mergeCell ref="A59:A62"/>
    <mergeCell ref="B59:B62"/>
    <mergeCell ref="C59:C60"/>
    <mergeCell ref="C61:C62"/>
    <mergeCell ref="D38:D39"/>
    <mergeCell ref="A43:A46"/>
    <mergeCell ref="B43:B46"/>
    <mergeCell ref="C44:C46"/>
    <mergeCell ref="A47:A54"/>
    <mergeCell ref="B47:B54"/>
    <mergeCell ref="C47:C48"/>
    <mergeCell ref="C49:C54"/>
    <mergeCell ref="A71:A74"/>
    <mergeCell ref="B71:B74"/>
    <mergeCell ref="C71:C72"/>
    <mergeCell ref="C73:C74"/>
    <mergeCell ref="A75:A76"/>
    <mergeCell ref="B75:B76"/>
    <mergeCell ref="C75:D75"/>
    <mergeCell ref="C76:D76"/>
    <mergeCell ref="A63:A66"/>
    <mergeCell ref="B63:B66"/>
    <mergeCell ref="C63:C64"/>
    <mergeCell ref="C65:C66"/>
    <mergeCell ref="A67:A70"/>
    <mergeCell ref="B67:B70"/>
    <mergeCell ref="C67:C68"/>
    <mergeCell ref="C69:C70"/>
    <mergeCell ref="A81:A84"/>
    <mergeCell ref="B81:B84"/>
    <mergeCell ref="C81:C82"/>
    <mergeCell ref="C83:C84"/>
    <mergeCell ref="A85:A86"/>
    <mergeCell ref="B85:B86"/>
    <mergeCell ref="C85:D85"/>
    <mergeCell ref="C86:D86"/>
    <mergeCell ref="A77:A78"/>
    <mergeCell ref="B77:B78"/>
    <mergeCell ref="C77:D77"/>
    <mergeCell ref="C78:D78"/>
    <mergeCell ref="A79:A80"/>
    <mergeCell ref="B79:B80"/>
    <mergeCell ref="C79:D79"/>
    <mergeCell ref="C80:D80"/>
    <mergeCell ref="A91:A92"/>
    <mergeCell ref="B91:B92"/>
    <mergeCell ref="C91:D91"/>
    <mergeCell ref="C92:D92"/>
    <mergeCell ref="A93:A94"/>
    <mergeCell ref="B93:B94"/>
    <mergeCell ref="C93:D93"/>
    <mergeCell ref="C94:D94"/>
    <mergeCell ref="A87:A88"/>
    <mergeCell ref="B87:B88"/>
    <mergeCell ref="C87:D87"/>
    <mergeCell ref="C88:D88"/>
    <mergeCell ref="A89:A90"/>
    <mergeCell ref="B89:B90"/>
    <mergeCell ref="C89:D89"/>
    <mergeCell ref="C90:D90"/>
    <mergeCell ref="A99:A103"/>
    <mergeCell ref="B99:B103"/>
    <mergeCell ref="C99:D99"/>
    <mergeCell ref="C100:D100"/>
    <mergeCell ref="C101:D101"/>
    <mergeCell ref="C102:D102"/>
    <mergeCell ref="C103:D103"/>
    <mergeCell ref="A95:A96"/>
    <mergeCell ref="B95:B96"/>
    <mergeCell ref="C95:D95"/>
    <mergeCell ref="C96:D96"/>
    <mergeCell ref="A97:A98"/>
    <mergeCell ref="B97:B98"/>
    <mergeCell ref="C97:D97"/>
    <mergeCell ref="C98:D98"/>
    <mergeCell ref="A112:A114"/>
    <mergeCell ref="B112:B114"/>
    <mergeCell ref="C112:D112"/>
    <mergeCell ref="C113:D113"/>
    <mergeCell ref="C114:D114"/>
    <mergeCell ref="B115:D115"/>
    <mergeCell ref="A104:A111"/>
    <mergeCell ref="B104:B111"/>
    <mergeCell ref="C104:D104"/>
    <mergeCell ref="C105:D105"/>
    <mergeCell ref="C106:D106"/>
    <mergeCell ref="C107:D107"/>
    <mergeCell ref="C108:D108"/>
    <mergeCell ref="C109:D109"/>
    <mergeCell ref="C110:D110"/>
    <mergeCell ref="C111:D111"/>
    <mergeCell ref="B136:D137"/>
    <mergeCell ref="B131:D131"/>
    <mergeCell ref="A134:I134"/>
    <mergeCell ref="C124:D124"/>
    <mergeCell ref="C125:D125"/>
    <mergeCell ref="C126:D126"/>
    <mergeCell ref="C127:D127"/>
    <mergeCell ref="B128:D128"/>
    <mergeCell ref="A116:A127"/>
    <mergeCell ref="B116:B127"/>
    <mergeCell ref="C116:D116"/>
    <mergeCell ref="C117:D117"/>
    <mergeCell ref="C118:D118"/>
    <mergeCell ref="C119:D119"/>
    <mergeCell ref="C120:D120"/>
    <mergeCell ref="C121:D121"/>
    <mergeCell ref="C122:D122"/>
    <mergeCell ref="C123:D123"/>
    <mergeCell ref="B132:D132"/>
    <mergeCell ref="B133:D1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1270-5BAB-48FC-93A7-E78FE338A488}">
  <dimension ref="A1:I56"/>
  <sheetViews>
    <sheetView workbookViewId="0">
      <selection sqref="A1:I1"/>
    </sheetView>
  </sheetViews>
  <sheetFormatPr defaultRowHeight="15.75"/>
  <cols>
    <col min="1" max="1" width="5.140625" style="26" bestFit="1" customWidth="1"/>
    <col min="2" max="2" width="9.42578125" style="1" customWidth="1"/>
    <col min="3" max="3" width="14.28515625" style="1" customWidth="1"/>
    <col min="4" max="4" width="15.28515625" style="1" customWidth="1"/>
    <col min="5" max="5" width="21.42578125" style="1" customWidth="1"/>
    <col min="6" max="6" width="9" style="1" customWidth="1"/>
    <col min="7" max="8" width="10.42578125" style="1" customWidth="1"/>
    <col min="9" max="9" width="64.5703125" style="1" customWidth="1"/>
    <col min="10" max="16384" width="9.140625" style="1"/>
  </cols>
  <sheetData>
    <row r="1" spans="1:9" ht="56.25" customHeight="1">
      <c r="A1" s="713" t="s">
        <v>844</v>
      </c>
      <c r="B1" s="713"/>
      <c r="C1" s="713"/>
      <c r="D1" s="713"/>
      <c r="E1" s="713"/>
      <c r="F1" s="713"/>
      <c r="G1" s="713"/>
      <c r="H1" s="713"/>
      <c r="I1" s="713"/>
    </row>
    <row r="2" spans="1:9" ht="19.5" customHeight="1">
      <c r="A2" s="714" t="s">
        <v>390</v>
      </c>
      <c r="B2" s="715"/>
      <c r="C2" s="715"/>
      <c r="D2" s="715"/>
      <c r="E2" s="715"/>
      <c r="F2" s="715"/>
      <c r="G2" s="715"/>
      <c r="H2" s="715"/>
      <c r="I2" s="715"/>
    </row>
    <row r="3" spans="1:9" s="22" customFormat="1" ht="52.5" customHeight="1">
      <c r="A3" s="18" t="s">
        <v>48</v>
      </c>
      <c r="B3" s="716" t="s">
        <v>2</v>
      </c>
      <c r="C3" s="717"/>
      <c r="D3" s="718"/>
      <c r="E3" s="20" t="s">
        <v>49</v>
      </c>
      <c r="F3" s="18" t="s">
        <v>50</v>
      </c>
      <c r="G3" s="18" t="s">
        <v>391</v>
      </c>
      <c r="H3" s="19" t="s">
        <v>392</v>
      </c>
      <c r="I3" s="21" t="s">
        <v>53</v>
      </c>
    </row>
    <row r="4" spans="1:9" s="4" customFormat="1" ht="16.5" customHeight="1">
      <c r="A4" s="700">
        <v>6</v>
      </c>
      <c r="B4" s="554" t="s">
        <v>393</v>
      </c>
      <c r="C4" s="554" t="s">
        <v>138</v>
      </c>
      <c r="D4" s="5" t="s">
        <v>8</v>
      </c>
      <c r="E4" s="6"/>
      <c r="F4" s="6"/>
      <c r="G4" s="39"/>
      <c r="H4" s="41"/>
      <c r="I4" s="13"/>
    </row>
    <row r="5" spans="1:9" s="4" customFormat="1" ht="16.5" customHeight="1">
      <c r="A5" s="701"/>
      <c r="B5" s="555"/>
      <c r="C5" s="555"/>
      <c r="D5" s="7" t="s">
        <v>11</v>
      </c>
      <c r="E5" s="6"/>
      <c r="F5" s="6"/>
      <c r="G5" s="39"/>
      <c r="H5" s="41"/>
      <c r="I5" s="13"/>
    </row>
    <row r="6" spans="1:9" s="4" customFormat="1" ht="15.75" customHeight="1">
      <c r="A6" s="701"/>
      <c r="B6" s="783"/>
      <c r="C6" s="483" t="s">
        <v>127</v>
      </c>
      <c r="D6" s="483" t="s">
        <v>15</v>
      </c>
      <c r="E6" s="119" t="s">
        <v>394</v>
      </c>
      <c r="F6" s="31">
        <v>2</v>
      </c>
      <c r="G6" s="31">
        <v>30</v>
      </c>
      <c r="H6" s="31">
        <f>(F6*G6)</f>
        <v>60</v>
      </c>
      <c r="I6" s="13"/>
    </row>
    <row r="7" spans="1:9" s="4" customFormat="1" ht="15.75" customHeight="1">
      <c r="A7" s="701"/>
      <c r="B7" s="783"/>
      <c r="C7" s="483"/>
      <c r="D7" s="483"/>
      <c r="E7" s="119" t="s">
        <v>395</v>
      </c>
      <c r="F7" s="31">
        <v>6</v>
      </c>
      <c r="G7" s="31">
        <v>10</v>
      </c>
      <c r="H7" s="31">
        <f t="shared" ref="H7:H36" si="0">(F7*G7)</f>
        <v>60</v>
      </c>
      <c r="I7" s="13"/>
    </row>
    <row r="8" spans="1:9" s="4" customFormat="1" ht="15.75" customHeight="1">
      <c r="A8" s="701"/>
      <c r="B8" s="783"/>
      <c r="C8" s="483"/>
      <c r="D8" s="483"/>
      <c r="E8" s="119" t="s">
        <v>396</v>
      </c>
      <c r="F8" s="31">
        <v>6</v>
      </c>
      <c r="G8" s="31">
        <v>10</v>
      </c>
      <c r="H8" s="31">
        <f t="shared" si="0"/>
        <v>60</v>
      </c>
      <c r="I8" s="13"/>
    </row>
    <row r="9" spans="1:9" s="4" customFormat="1" ht="15.75" customHeight="1">
      <c r="A9" s="701"/>
      <c r="B9" s="783"/>
      <c r="C9" s="483"/>
      <c r="D9" s="483"/>
      <c r="E9" s="119" t="s">
        <v>397</v>
      </c>
      <c r="F9" s="31">
        <v>6</v>
      </c>
      <c r="G9" s="31">
        <v>12</v>
      </c>
      <c r="H9" s="31">
        <f t="shared" si="0"/>
        <v>72</v>
      </c>
      <c r="I9" s="13"/>
    </row>
    <row r="10" spans="1:9" s="4" customFormat="1" ht="15.75" customHeight="1">
      <c r="A10" s="701"/>
      <c r="B10" s="783"/>
      <c r="C10" s="483"/>
      <c r="D10" s="483"/>
      <c r="E10" s="119" t="s">
        <v>398</v>
      </c>
      <c r="F10" s="31">
        <v>6</v>
      </c>
      <c r="G10" s="31">
        <v>12</v>
      </c>
      <c r="H10" s="31">
        <f t="shared" si="0"/>
        <v>72</v>
      </c>
      <c r="I10" s="13"/>
    </row>
    <row r="11" spans="1:9" s="4" customFormat="1" ht="15.75" customHeight="1">
      <c r="A11" s="701"/>
      <c r="B11" s="783"/>
      <c r="C11" s="483"/>
      <c r="D11" s="483"/>
      <c r="E11" s="119" t="s">
        <v>399</v>
      </c>
      <c r="F11" s="31">
        <v>6</v>
      </c>
      <c r="G11" s="31">
        <v>20</v>
      </c>
      <c r="H11" s="31">
        <f t="shared" si="0"/>
        <v>120</v>
      </c>
      <c r="I11" s="13"/>
    </row>
    <row r="12" spans="1:9" s="4" customFormat="1" ht="15.75" customHeight="1">
      <c r="A12" s="701"/>
      <c r="B12" s="783"/>
      <c r="C12" s="483"/>
      <c r="D12" s="483"/>
      <c r="E12" s="119" t="s">
        <v>400</v>
      </c>
      <c r="F12" s="31">
        <v>6</v>
      </c>
      <c r="G12" s="31">
        <v>25</v>
      </c>
      <c r="H12" s="31">
        <f t="shared" si="0"/>
        <v>150</v>
      </c>
      <c r="I12" s="13"/>
    </row>
    <row r="13" spans="1:9" s="4" customFormat="1" ht="15.75" customHeight="1">
      <c r="A13" s="701"/>
      <c r="B13" s="783"/>
      <c r="C13" s="483"/>
      <c r="D13" s="483"/>
      <c r="E13" s="119" t="s">
        <v>162</v>
      </c>
      <c r="F13" s="31">
        <v>3</v>
      </c>
      <c r="G13" s="31">
        <v>20</v>
      </c>
      <c r="H13" s="31">
        <f t="shared" si="0"/>
        <v>60</v>
      </c>
      <c r="I13" s="13"/>
    </row>
    <row r="14" spans="1:9" s="4" customFormat="1" ht="15.75" customHeight="1">
      <c r="A14" s="701"/>
      <c r="B14" s="783"/>
      <c r="C14" s="483"/>
      <c r="D14" s="483"/>
      <c r="E14" s="119" t="s">
        <v>252</v>
      </c>
      <c r="F14" s="31">
        <v>12</v>
      </c>
      <c r="G14" s="31">
        <v>25</v>
      </c>
      <c r="H14" s="31">
        <f t="shared" si="0"/>
        <v>300</v>
      </c>
      <c r="I14" s="13"/>
    </row>
    <row r="15" spans="1:9" s="4" customFormat="1" ht="15.75" customHeight="1">
      <c r="A15" s="701"/>
      <c r="B15" s="783"/>
      <c r="C15" s="483"/>
      <c r="D15" s="483"/>
      <c r="E15" s="119" t="s">
        <v>401</v>
      </c>
      <c r="F15" s="31">
        <v>3</v>
      </c>
      <c r="G15" s="31">
        <v>30</v>
      </c>
      <c r="H15" s="31">
        <f t="shared" si="0"/>
        <v>90</v>
      </c>
      <c r="I15" s="13"/>
    </row>
    <row r="16" spans="1:9" s="4" customFormat="1" ht="15.75" customHeight="1">
      <c r="A16" s="701"/>
      <c r="B16" s="783"/>
      <c r="C16" s="483"/>
      <c r="D16" s="483"/>
      <c r="E16" s="119" t="s">
        <v>402</v>
      </c>
      <c r="F16" s="31">
        <v>100</v>
      </c>
      <c r="G16" s="31">
        <v>10</v>
      </c>
      <c r="H16" s="31">
        <f t="shared" si="0"/>
        <v>1000</v>
      </c>
      <c r="I16" s="13"/>
    </row>
    <row r="17" spans="1:9" s="4" customFormat="1" ht="15.75" customHeight="1">
      <c r="A17" s="701"/>
      <c r="B17" s="783"/>
      <c r="C17" s="483"/>
      <c r="D17" s="483"/>
      <c r="E17" s="119" t="s">
        <v>403</v>
      </c>
      <c r="F17" s="31">
        <v>3</v>
      </c>
      <c r="G17" s="31">
        <v>120</v>
      </c>
      <c r="H17" s="31">
        <f t="shared" si="0"/>
        <v>360</v>
      </c>
      <c r="I17" s="13"/>
    </row>
    <row r="18" spans="1:9" s="4" customFormat="1" ht="15.75" customHeight="1">
      <c r="A18" s="701"/>
      <c r="B18" s="783"/>
      <c r="C18" s="483"/>
      <c r="D18" s="483"/>
      <c r="E18" s="119" t="s">
        <v>404</v>
      </c>
      <c r="F18" s="31">
        <v>3</v>
      </c>
      <c r="G18" s="31">
        <v>40</v>
      </c>
      <c r="H18" s="31">
        <f t="shared" si="0"/>
        <v>120</v>
      </c>
      <c r="I18" s="13"/>
    </row>
    <row r="19" spans="1:9" s="4" customFormat="1" ht="15.75" customHeight="1">
      <c r="A19" s="701"/>
      <c r="B19" s="783"/>
      <c r="C19" s="483"/>
      <c r="D19" s="483"/>
      <c r="E19" s="119" t="s">
        <v>175</v>
      </c>
      <c r="F19" s="31">
        <v>8</v>
      </c>
      <c r="G19" s="31">
        <v>300</v>
      </c>
      <c r="H19" s="31">
        <f t="shared" si="0"/>
        <v>2400</v>
      </c>
      <c r="I19" s="13"/>
    </row>
    <row r="20" spans="1:9" s="4" customFormat="1" ht="15.75" customHeight="1">
      <c r="A20" s="701"/>
      <c r="B20" s="783"/>
      <c r="C20" s="483"/>
      <c r="D20" s="483"/>
      <c r="E20" s="119" t="s">
        <v>405</v>
      </c>
      <c r="F20" s="31">
        <v>6</v>
      </c>
      <c r="G20" s="31">
        <v>220</v>
      </c>
      <c r="H20" s="31">
        <f t="shared" si="0"/>
        <v>1320</v>
      </c>
      <c r="I20" s="13"/>
    </row>
    <row r="21" spans="1:9" s="4" customFormat="1" ht="15.75" customHeight="1">
      <c r="A21" s="701"/>
      <c r="B21" s="783"/>
      <c r="C21" s="483"/>
      <c r="D21" s="483"/>
      <c r="E21" s="119" t="s">
        <v>406</v>
      </c>
      <c r="F21" s="31">
        <v>8</v>
      </c>
      <c r="G21" s="31">
        <v>300</v>
      </c>
      <c r="H21" s="31">
        <f t="shared" si="0"/>
        <v>2400</v>
      </c>
      <c r="I21" s="13"/>
    </row>
    <row r="22" spans="1:9" s="4" customFormat="1" ht="15.75" customHeight="1">
      <c r="A22" s="701"/>
      <c r="B22" s="783"/>
      <c r="C22" s="483"/>
      <c r="D22" s="483"/>
      <c r="E22" s="119" t="s">
        <v>407</v>
      </c>
      <c r="F22" s="31">
        <v>2</v>
      </c>
      <c r="G22" s="31">
        <v>80</v>
      </c>
      <c r="H22" s="31">
        <f t="shared" si="0"/>
        <v>160</v>
      </c>
      <c r="I22" s="13"/>
    </row>
    <row r="23" spans="1:9" s="4" customFormat="1" ht="15.75" customHeight="1">
      <c r="A23" s="701"/>
      <c r="B23" s="783"/>
      <c r="C23" s="483"/>
      <c r="D23" s="483"/>
      <c r="E23" s="119" t="s">
        <v>408</v>
      </c>
      <c r="F23" s="31">
        <v>5</v>
      </c>
      <c r="G23" s="31">
        <v>30</v>
      </c>
      <c r="H23" s="31">
        <f t="shared" si="0"/>
        <v>150</v>
      </c>
      <c r="I23" s="13"/>
    </row>
    <row r="24" spans="1:9" s="4" customFormat="1" ht="15.75" customHeight="1">
      <c r="A24" s="701"/>
      <c r="B24" s="783"/>
      <c r="C24" s="483"/>
      <c r="D24" s="483"/>
      <c r="E24" s="119" t="s">
        <v>409</v>
      </c>
      <c r="F24" s="31">
        <v>50</v>
      </c>
      <c r="G24" s="31">
        <v>35</v>
      </c>
      <c r="H24" s="31">
        <f t="shared" si="0"/>
        <v>1750</v>
      </c>
      <c r="I24" s="13"/>
    </row>
    <row r="25" spans="1:9" s="4" customFormat="1" ht="15.75" customHeight="1">
      <c r="A25" s="701"/>
      <c r="B25" s="783"/>
      <c r="C25" s="483"/>
      <c r="D25" s="483"/>
      <c r="E25" s="119" t="s">
        <v>410</v>
      </c>
      <c r="F25" s="31">
        <v>3</v>
      </c>
      <c r="G25" s="31">
        <v>15</v>
      </c>
      <c r="H25" s="31">
        <f t="shared" si="0"/>
        <v>45</v>
      </c>
      <c r="I25" s="13"/>
    </row>
    <row r="26" spans="1:9" s="4" customFormat="1" ht="15.75" customHeight="1">
      <c r="A26" s="701"/>
      <c r="B26" s="783"/>
      <c r="C26" s="483"/>
      <c r="D26" s="483"/>
      <c r="E26" s="119" t="s">
        <v>411</v>
      </c>
      <c r="F26" s="31">
        <v>2</v>
      </c>
      <c r="G26" s="31">
        <v>50</v>
      </c>
      <c r="H26" s="31">
        <f t="shared" si="0"/>
        <v>100</v>
      </c>
      <c r="I26" s="13"/>
    </row>
    <row r="27" spans="1:9" s="4" customFormat="1" ht="15.75" customHeight="1">
      <c r="A27" s="701"/>
      <c r="B27" s="783"/>
      <c r="C27" s="483"/>
      <c r="D27" s="483"/>
      <c r="E27" s="119" t="s">
        <v>145</v>
      </c>
      <c r="F27" s="31">
        <v>2</v>
      </c>
      <c r="G27" s="31">
        <v>60</v>
      </c>
      <c r="H27" s="31">
        <f t="shared" si="0"/>
        <v>120</v>
      </c>
      <c r="I27" s="13"/>
    </row>
    <row r="28" spans="1:9" s="4" customFormat="1" ht="15.75" customHeight="1">
      <c r="A28" s="701"/>
      <c r="B28" s="783"/>
      <c r="C28" s="483"/>
      <c r="D28" s="483"/>
      <c r="E28" s="119" t="s">
        <v>412</v>
      </c>
      <c r="F28" s="31">
        <v>3</v>
      </c>
      <c r="G28" s="31">
        <v>40</v>
      </c>
      <c r="H28" s="31">
        <f t="shared" si="0"/>
        <v>120</v>
      </c>
      <c r="I28" s="13"/>
    </row>
    <row r="29" spans="1:9" s="4" customFormat="1" ht="15.75" customHeight="1">
      <c r="A29" s="701"/>
      <c r="B29" s="783"/>
      <c r="C29" s="483"/>
      <c r="D29" s="483"/>
      <c r="E29" s="119" t="s">
        <v>413</v>
      </c>
      <c r="F29" s="31">
        <v>6</v>
      </c>
      <c r="G29" s="31">
        <v>70</v>
      </c>
      <c r="H29" s="31">
        <f t="shared" si="0"/>
        <v>420</v>
      </c>
      <c r="I29" s="13"/>
    </row>
    <row r="30" spans="1:9" s="4" customFormat="1" ht="15.75" customHeight="1">
      <c r="A30" s="701"/>
      <c r="B30" s="783"/>
      <c r="C30" s="483"/>
      <c r="D30" s="483"/>
      <c r="E30" s="119" t="s">
        <v>414</v>
      </c>
      <c r="F30" s="31">
        <v>10</v>
      </c>
      <c r="G30" s="31">
        <v>50</v>
      </c>
      <c r="H30" s="31">
        <f t="shared" si="0"/>
        <v>500</v>
      </c>
      <c r="I30" s="13"/>
    </row>
    <row r="31" spans="1:9" s="4" customFormat="1" ht="16.5" customHeight="1">
      <c r="A31" s="701"/>
      <c r="B31" s="783"/>
      <c r="C31" s="483"/>
      <c r="D31" s="483"/>
      <c r="E31" s="119" t="s">
        <v>214</v>
      </c>
      <c r="F31" s="31">
        <v>3</v>
      </c>
      <c r="G31" s="31">
        <v>200</v>
      </c>
      <c r="H31" s="31">
        <f t="shared" si="0"/>
        <v>600</v>
      </c>
      <c r="I31" s="13"/>
    </row>
    <row r="32" spans="1:9" s="4" customFormat="1" ht="15.75" customHeight="1">
      <c r="A32" s="701"/>
      <c r="B32" s="783"/>
      <c r="C32" s="483"/>
      <c r="D32" s="483"/>
      <c r="E32" s="119" t="s">
        <v>415</v>
      </c>
      <c r="F32" s="31">
        <v>3</v>
      </c>
      <c r="G32" s="31">
        <v>80</v>
      </c>
      <c r="H32" s="31">
        <f t="shared" si="0"/>
        <v>240</v>
      </c>
      <c r="I32" s="13"/>
    </row>
    <row r="33" spans="1:9" s="4" customFormat="1" ht="15.75" customHeight="1">
      <c r="A33" s="701"/>
      <c r="B33" s="783"/>
      <c r="C33" s="483"/>
      <c r="D33" s="483"/>
      <c r="E33" s="119" t="s">
        <v>416</v>
      </c>
      <c r="F33" s="31">
        <v>3</v>
      </c>
      <c r="G33" s="31">
        <v>50</v>
      </c>
      <c r="H33" s="31">
        <f t="shared" si="0"/>
        <v>150</v>
      </c>
      <c r="I33" s="13"/>
    </row>
    <row r="34" spans="1:9" s="4" customFormat="1" ht="14.25" customHeight="1">
      <c r="A34" s="701"/>
      <c r="B34" s="783"/>
      <c r="C34" s="483"/>
      <c r="D34" s="483"/>
      <c r="E34" s="119" t="s">
        <v>417</v>
      </c>
      <c r="F34" s="31">
        <v>3</v>
      </c>
      <c r="G34" s="31">
        <v>10</v>
      </c>
      <c r="H34" s="31">
        <f t="shared" si="0"/>
        <v>30</v>
      </c>
      <c r="I34" s="13"/>
    </row>
    <row r="35" spans="1:9" s="4" customFormat="1" ht="16.5" customHeight="1">
      <c r="A35" s="701"/>
      <c r="B35" s="783"/>
      <c r="C35" s="483"/>
      <c r="D35" s="483" t="s">
        <v>11</v>
      </c>
      <c r="E35" s="119" t="s">
        <v>418</v>
      </c>
      <c r="F35" s="31">
        <v>5</v>
      </c>
      <c r="G35" s="31">
        <v>2800</v>
      </c>
      <c r="H35" s="31">
        <f t="shared" si="0"/>
        <v>14000</v>
      </c>
      <c r="I35" s="120"/>
    </row>
    <row r="36" spans="1:9" s="4" customFormat="1" ht="16.5" customHeight="1">
      <c r="A36" s="701"/>
      <c r="B36" s="783"/>
      <c r="C36" s="483"/>
      <c r="D36" s="483"/>
      <c r="E36" s="119" t="s">
        <v>419</v>
      </c>
      <c r="F36" s="31">
        <v>10</v>
      </c>
      <c r="G36" s="31">
        <v>450</v>
      </c>
      <c r="H36" s="31">
        <f t="shared" si="0"/>
        <v>4500</v>
      </c>
      <c r="I36" s="120"/>
    </row>
    <row r="37" spans="1:9" s="4" customFormat="1" ht="16.5" customHeight="1">
      <c r="A37" s="701"/>
      <c r="B37" s="783"/>
      <c r="C37" s="483"/>
      <c r="D37" s="483"/>
      <c r="E37" s="119" t="s">
        <v>420</v>
      </c>
      <c r="F37" s="31">
        <v>1400</v>
      </c>
      <c r="G37" s="31">
        <v>30</v>
      </c>
      <c r="H37" s="31">
        <f>(F37*G37)</f>
        <v>42000</v>
      </c>
      <c r="I37" s="120"/>
    </row>
    <row r="38" spans="1:9" s="4" customFormat="1" ht="15.75" customHeight="1">
      <c r="A38" s="701"/>
      <c r="B38" s="783"/>
      <c r="C38" s="483"/>
      <c r="D38" s="483"/>
      <c r="E38" s="119" t="s">
        <v>421</v>
      </c>
      <c r="F38" s="31">
        <v>1400</v>
      </c>
      <c r="G38" s="31">
        <v>15</v>
      </c>
      <c r="H38" s="31">
        <f>(F38*G38)</f>
        <v>21000</v>
      </c>
      <c r="I38" s="13"/>
    </row>
    <row r="39" spans="1:9" s="4" customFormat="1" ht="47.25" customHeight="1">
      <c r="A39" s="701"/>
      <c r="B39" s="783"/>
      <c r="C39" s="483"/>
      <c r="D39" s="483"/>
      <c r="E39" s="119" t="s">
        <v>422</v>
      </c>
      <c r="F39" s="121">
        <v>66</v>
      </c>
      <c r="G39" s="121">
        <v>5000</v>
      </c>
      <c r="H39" s="121">
        <f>(F39*G39)</f>
        <v>330000</v>
      </c>
      <c r="I39" s="122" t="s">
        <v>423</v>
      </c>
    </row>
    <row r="40" spans="1:9" s="4" customFormat="1" ht="15.75" customHeight="1">
      <c r="A40" s="701"/>
      <c r="B40" s="783"/>
      <c r="C40" s="483"/>
      <c r="D40" s="483"/>
      <c r="E40" s="123" t="s">
        <v>424</v>
      </c>
      <c r="F40" s="124">
        <v>5</v>
      </c>
      <c r="G40" s="31">
        <v>20000</v>
      </c>
      <c r="H40" s="31">
        <f t="shared" ref="H40:H43" si="1">(F40*G40)</f>
        <v>100000</v>
      </c>
      <c r="I40" s="13"/>
    </row>
    <row r="41" spans="1:9" s="4" customFormat="1" ht="31.5" customHeight="1">
      <c r="A41" s="701"/>
      <c r="B41" s="783"/>
      <c r="C41" s="483"/>
      <c r="D41" s="483"/>
      <c r="E41" s="123" t="s">
        <v>425</v>
      </c>
      <c r="F41" s="124">
        <v>10</v>
      </c>
      <c r="G41" s="124">
        <v>10000</v>
      </c>
      <c r="H41" s="31">
        <f t="shared" si="1"/>
        <v>100000</v>
      </c>
      <c r="I41" s="13"/>
    </row>
    <row r="42" spans="1:9" s="4" customFormat="1" ht="31.5" customHeight="1">
      <c r="A42" s="701"/>
      <c r="B42" s="783"/>
      <c r="C42" s="483"/>
      <c r="D42" s="483"/>
      <c r="E42" s="125" t="s">
        <v>426</v>
      </c>
      <c r="F42" s="124">
        <v>1</v>
      </c>
      <c r="G42" s="124">
        <v>177000</v>
      </c>
      <c r="H42" s="124">
        <v>177000</v>
      </c>
      <c r="I42" s="13"/>
    </row>
    <row r="43" spans="1:9" s="4" customFormat="1" ht="15.75" customHeight="1">
      <c r="A43" s="701"/>
      <c r="B43" s="783"/>
      <c r="C43" s="483"/>
      <c r="D43" s="483"/>
      <c r="E43" s="125" t="s">
        <v>427</v>
      </c>
      <c r="F43" s="124">
        <v>10</v>
      </c>
      <c r="G43" s="124">
        <v>100</v>
      </c>
      <c r="H43" s="31">
        <f t="shared" si="1"/>
        <v>1000</v>
      </c>
      <c r="I43" s="13"/>
    </row>
    <row r="44" spans="1:9" s="4" customFormat="1">
      <c r="A44" s="700">
        <v>22</v>
      </c>
      <c r="B44" s="554" t="s">
        <v>60</v>
      </c>
      <c r="C44" s="780" t="s">
        <v>61</v>
      </c>
      <c r="D44" s="781"/>
      <c r="E44" s="13"/>
      <c r="F44" s="13"/>
      <c r="G44" s="13"/>
      <c r="H44" s="31"/>
      <c r="I44" s="13"/>
    </row>
    <row r="45" spans="1:9" s="4" customFormat="1">
      <c r="A45" s="701"/>
      <c r="B45" s="555"/>
      <c r="C45" s="520" t="s">
        <v>62</v>
      </c>
      <c r="D45" s="508"/>
      <c r="E45" s="13"/>
      <c r="F45" s="13"/>
      <c r="G45" s="13"/>
      <c r="H45" s="31"/>
      <c r="I45" s="13"/>
    </row>
    <row r="46" spans="1:9" s="4" customFormat="1">
      <c r="A46" s="701"/>
      <c r="B46" s="555"/>
      <c r="C46" s="520" t="s">
        <v>63</v>
      </c>
      <c r="D46" s="508"/>
      <c r="E46" s="13"/>
      <c r="F46" s="13"/>
      <c r="G46" s="13"/>
      <c r="H46" s="31"/>
      <c r="I46" s="13"/>
    </row>
    <row r="47" spans="1:9" s="4" customFormat="1">
      <c r="A47" s="701"/>
      <c r="B47" s="555"/>
      <c r="C47" s="520" t="s">
        <v>64</v>
      </c>
      <c r="D47" s="508"/>
      <c r="E47" s="13"/>
      <c r="F47" s="13"/>
      <c r="G47" s="13"/>
      <c r="H47" s="31"/>
      <c r="I47" s="13"/>
    </row>
    <row r="48" spans="1:9" s="4" customFormat="1">
      <c r="A48" s="701"/>
      <c r="B48" s="555"/>
      <c r="C48" s="704" t="s">
        <v>65</v>
      </c>
      <c r="D48" s="782"/>
      <c r="E48" s="13"/>
      <c r="F48" s="13"/>
      <c r="G48" s="13"/>
      <c r="H48" s="31"/>
      <c r="I48" s="13"/>
    </row>
    <row r="49" spans="1:9" s="4" customFormat="1" ht="31.5" customHeight="1">
      <c r="A49" s="491">
        <v>24</v>
      </c>
      <c r="B49" s="480" t="s">
        <v>74</v>
      </c>
      <c r="C49" s="695" t="s">
        <v>75</v>
      </c>
      <c r="D49" s="696"/>
      <c r="E49" s="125"/>
      <c r="F49" s="13"/>
      <c r="G49" s="13"/>
      <c r="H49" s="31"/>
      <c r="I49" s="13"/>
    </row>
    <row r="50" spans="1:9" s="4" customFormat="1">
      <c r="A50" s="491"/>
      <c r="B50" s="480"/>
      <c r="C50" s="695" t="s">
        <v>76</v>
      </c>
      <c r="D50" s="696"/>
      <c r="E50" s="13"/>
      <c r="F50" s="13"/>
      <c r="G50" s="13"/>
      <c r="H50" s="23"/>
      <c r="I50" s="13"/>
    </row>
    <row r="51" spans="1:9" s="4" customFormat="1" ht="33" customHeight="1">
      <c r="A51" s="491"/>
      <c r="B51" s="480"/>
      <c r="C51" s="695" t="s">
        <v>77</v>
      </c>
      <c r="D51" s="696"/>
      <c r="E51" s="125"/>
      <c r="F51" s="124"/>
      <c r="G51" s="124"/>
      <c r="H51" s="124"/>
      <c r="I51" s="13"/>
    </row>
    <row r="52" spans="1:9" s="4" customFormat="1" ht="15.75" customHeight="1">
      <c r="A52" s="15">
        <v>25</v>
      </c>
      <c r="B52" s="695" t="s">
        <v>42</v>
      </c>
      <c r="C52" s="697"/>
      <c r="D52" s="696"/>
      <c r="E52" s="13"/>
      <c r="F52" s="13"/>
      <c r="G52" s="13"/>
      <c r="H52" s="23"/>
      <c r="I52" s="13"/>
    </row>
    <row r="53" spans="1:9" s="4" customFormat="1" ht="15.75" customHeight="1">
      <c r="A53" s="15">
        <v>27</v>
      </c>
      <c r="B53" s="695" t="s">
        <v>89</v>
      </c>
      <c r="C53" s="697"/>
      <c r="D53" s="696"/>
      <c r="E53" s="13"/>
      <c r="F53" s="13"/>
      <c r="G53" s="13"/>
      <c r="H53" s="23"/>
      <c r="I53" s="13"/>
    </row>
    <row r="54" spans="1:9" s="4" customFormat="1" ht="15.75" customHeight="1">
      <c r="A54" s="15">
        <v>28</v>
      </c>
      <c r="B54" s="695" t="s">
        <v>43</v>
      </c>
      <c r="C54" s="697"/>
      <c r="D54" s="696"/>
      <c r="E54" s="13"/>
      <c r="F54" s="13"/>
      <c r="G54" s="13"/>
      <c r="H54" s="23"/>
      <c r="I54" s="13"/>
    </row>
    <row r="55" spans="1:9">
      <c r="A55" s="16"/>
      <c r="B55" s="779" t="s">
        <v>90</v>
      </c>
      <c r="C55" s="779"/>
      <c r="D55" s="779"/>
      <c r="E55" s="24"/>
      <c r="F55" s="25">
        <f t="shared" ref="F55:G55" si="2">SUM(F6:F54)</f>
        <v>3186</v>
      </c>
      <c r="G55" s="25">
        <f t="shared" si="2"/>
        <v>217349</v>
      </c>
      <c r="H55" s="25">
        <f>SUM(H6:H54)</f>
        <v>802529</v>
      </c>
      <c r="I55" s="24"/>
    </row>
    <row r="56" spans="1:9" s="17" customFormat="1" ht="42" customHeight="1">
      <c r="A56" s="667" t="s">
        <v>91</v>
      </c>
      <c r="B56" s="668"/>
      <c r="C56" s="668"/>
      <c r="D56" s="668"/>
      <c r="E56" s="668"/>
      <c r="F56" s="668"/>
      <c r="G56" s="668"/>
      <c r="H56" s="668"/>
      <c r="I56" s="669"/>
    </row>
  </sheetData>
  <mergeCells count="26">
    <mergeCell ref="A1:I1"/>
    <mergeCell ref="A2:I2"/>
    <mergeCell ref="B3:D3"/>
    <mergeCell ref="A4:A43"/>
    <mergeCell ref="B4:B43"/>
    <mergeCell ref="C4:C5"/>
    <mergeCell ref="C6:C43"/>
    <mergeCell ref="D6:D34"/>
    <mergeCell ref="D35:D43"/>
    <mergeCell ref="A44:A48"/>
    <mergeCell ref="B44:B48"/>
    <mergeCell ref="C44:D44"/>
    <mergeCell ref="C45:D45"/>
    <mergeCell ref="C46:D46"/>
    <mergeCell ref="C47:D47"/>
    <mergeCell ref="C48:D48"/>
    <mergeCell ref="B53:D53"/>
    <mergeCell ref="B54:D54"/>
    <mergeCell ref="B55:D55"/>
    <mergeCell ref="A56:I56"/>
    <mergeCell ref="A49:A51"/>
    <mergeCell ref="B49:B51"/>
    <mergeCell ref="C49:D49"/>
    <mergeCell ref="C50:D50"/>
    <mergeCell ref="C51:D51"/>
    <mergeCell ref="B52:D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AB50-2C71-446D-A7F8-FC1E53200EDA}">
  <dimension ref="A1:H9"/>
  <sheetViews>
    <sheetView workbookViewId="0">
      <selection activeCell="K17" sqref="K17"/>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72" style="1" customWidth="1"/>
    <col min="6" max="6" width="13.7109375" style="1" customWidth="1"/>
    <col min="7" max="7" width="16.7109375" style="1" customWidth="1"/>
    <col min="8" max="8" width="16.140625" style="1" customWidth="1"/>
    <col min="9" max="16384" width="9.140625" style="1"/>
  </cols>
  <sheetData>
    <row r="1" spans="1:8" ht="15">
      <c r="A1" s="784" t="s">
        <v>47</v>
      </c>
      <c r="B1" s="785"/>
      <c r="C1" s="785"/>
      <c r="D1" s="785"/>
      <c r="E1" s="785"/>
      <c r="F1" s="785"/>
      <c r="G1" s="785"/>
      <c r="H1" s="785"/>
    </row>
    <row r="2" spans="1:8" ht="18.75">
      <c r="A2" s="786" t="s">
        <v>845</v>
      </c>
      <c r="B2" s="787"/>
      <c r="C2" s="787"/>
      <c r="D2" s="787"/>
      <c r="E2" s="787"/>
      <c r="F2" s="787"/>
      <c r="G2" s="787"/>
      <c r="H2" s="787"/>
    </row>
    <row r="3" spans="1:8" s="22" customFormat="1" ht="31.5">
      <c r="A3" s="126" t="s">
        <v>48</v>
      </c>
      <c r="B3" s="788" t="s">
        <v>429</v>
      </c>
      <c r="C3" s="789"/>
      <c r="D3" s="790"/>
      <c r="E3" s="39" t="s">
        <v>49</v>
      </c>
      <c r="F3" s="126" t="s">
        <v>50</v>
      </c>
      <c r="G3" s="39" t="s">
        <v>51</v>
      </c>
      <c r="H3" s="39" t="s">
        <v>430</v>
      </c>
    </row>
    <row r="4" spans="1:8" s="4" customFormat="1">
      <c r="A4" s="700"/>
      <c r="B4" s="554" t="s">
        <v>26</v>
      </c>
      <c r="C4" s="554" t="s">
        <v>7</v>
      </c>
      <c r="D4" s="5" t="s">
        <v>8</v>
      </c>
      <c r="E4" s="127" t="s">
        <v>431</v>
      </c>
      <c r="F4" s="100"/>
      <c r="G4" s="6"/>
      <c r="H4" s="128">
        <v>722569</v>
      </c>
    </row>
    <row r="5" spans="1:8" s="4" customFormat="1">
      <c r="A5" s="701"/>
      <c r="B5" s="555"/>
      <c r="C5" s="556"/>
      <c r="D5" s="5" t="s">
        <v>11</v>
      </c>
      <c r="E5" s="6" t="s">
        <v>432</v>
      </c>
      <c r="F5" s="6"/>
      <c r="G5" s="6"/>
      <c r="H5" s="128">
        <v>1100000</v>
      </c>
    </row>
    <row r="6" spans="1:8" s="4" customFormat="1">
      <c r="A6" s="701"/>
      <c r="B6" s="555"/>
      <c r="C6" s="554" t="s">
        <v>12</v>
      </c>
      <c r="D6" s="5" t="s">
        <v>8</v>
      </c>
      <c r="E6" s="127" t="s">
        <v>433</v>
      </c>
      <c r="F6" s="6"/>
      <c r="G6" s="6"/>
      <c r="H6" s="128">
        <v>219469</v>
      </c>
    </row>
    <row r="7" spans="1:8" s="4" customFormat="1">
      <c r="A7" s="710"/>
      <c r="B7" s="556"/>
      <c r="C7" s="556"/>
      <c r="D7" s="5" t="s">
        <v>11</v>
      </c>
      <c r="E7" s="127" t="s">
        <v>434</v>
      </c>
      <c r="F7" s="6"/>
      <c r="G7" s="6"/>
      <c r="H7" s="128">
        <v>875800</v>
      </c>
    </row>
    <row r="8" spans="1:8">
      <c r="A8" s="16"/>
      <c r="B8" s="694" t="s">
        <v>90</v>
      </c>
      <c r="C8" s="694"/>
      <c r="D8" s="694"/>
      <c r="E8" s="24"/>
      <c r="F8" s="24"/>
      <c r="G8" s="24"/>
      <c r="H8" s="129">
        <f>SUM(H4:H7)</f>
        <v>2917838</v>
      </c>
    </row>
    <row r="9" spans="1:8" s="17" customFormat="1">
      <c r="A9" s="476" t="s">
        <v>435</v>
      </c>
      <c r="B9" s="476"/>
      <c r="C9" s="476"/>
      <c r="D9" s="476"/>
      <c r="E9" s="476"/>
      <c r="F9" s="476"/>
      <c r="G9" s="476"/>
      <c r="H9" s="476"/>
    </row>
  </sheetData>
  <mergeCells count="9">
    <mergeCell ref="B8:D8"/>
    <mergeCell ref="A9:H9"/>
    <mergeCell ref="A1:H1"/>
    <mergeCell ref="A2:H2"/>
    <mergeCell ref="B3:D3"/>
    <mergeCell ref="A4:A7"/>
    <mergeCell ref="B4:B7"/>
    <mergeCell ref="C4:C5"/>
    <mergeCell ref="C6: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60A1-9929-49E0-AA18-D1CB4C467BF9}">
  <dimension ref="A1:I120"/>
  <sheetViews>
    <sheetView workbookViewId="0">
      <selection activeCell="H106" sqref="H106:H114"/>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3.85546875" style="1" bestFit="1" customWidth="1"/>
    <col min="10" max="16384" width="9.140625" style="1"/>
  </cols>
  <sheetData>
    <row r="1" spans="1:9" ht="56.25" customHeight="1">
      <c r="A1" s="713" t="s">
        <v>436</v>
      </c>
      <c r="B1" s="713"/>
      <c r="C1" s="713"/>
      <c r="D1" s="713"/>
      <c r="E1" s="713"/>
      <c r="F1" s="713"/>
      <c r="G1" s="713"/>
      <c r="H1" s="713"/>
      <c r="I1" s="713"/>
    </row>
    <row r="2" spans="1:9" ht="19.5" customHeight="1">
      <c r="A2" s="714" t="s">
        <v>437</v>
      </c>
      <c r="B2" s="715"/>
      <c r="C2" s="715"/>
      <c r="D2" s="715"/>
      <c r="E2" s="715"/>
      <c r="F2" s="715"/>
      <c r="G2" s="715"/>
      <c r="H2" s="715"/>
      <c r="I2" s="715"/>
    </row>
    <row r="3" spans="1:9" s="22" customFormat="1" ht="34.5" customHeight="1">
      <c r="A3" s="18" t="s">
        <v>48</v>
      </c>
      <c r="B3" s="716" t="s">
        <v>2</v>
      </c>
      <c r="C3" s="717"/>
      <c r="D3" s="718"/>
      <c r="E3" s="20" t="s">
        <v>49</v>
      </c>
      <c r="F3" s="18" t="s">
        <v>50</v>
      </c>
      <c r="G3" s="20" t="s">
        <v>51</v>
      </c>
      <c r="H3" s="19" t="s">
        <v>52</v>
      </c>
      <c r="I3" s="21" t="s">
        <v>53</v>
      </c>
    </row>
    <row r="4" spans="1:9" s="4" customFormat="1" ht="17.25" customHeight="1">
      <c r="A4" s="700">
        <v>1</v>
      </c>
      <c r="B4" s="554" t="s">
        <v>6</v>
      </c>
      <c r="C4" s="554" t="s">
        <v>7</v>
      </c>
      <c r="D4" s="5" t="s">
        <v>8</v>
      </c>
      <c r="E4" s="6"/>
      <c r="F4" s="6"/>
      <c r="G4" s="6"/>
      <c r="H4" s="12"/>
      <c r="I4" s="13"/>
    </row>
    <row r="5" spans="1:9" s="4" customFormat="1" ht="17.25" customHeight="1">
      <c r="A5" s="701"/>
      <c r="B5" s="555"/>
      <c r="C5" s="555"/>
      <c r="D5" s="5" t="s">
        <v>9</v>
      </c>
      <c r="E5" s="6"/>
      <c r="F5" s="6"/>
      <c r="G5" s="6"/>
      <c r="H5" s="12"/>
      <c r="I5" s="13"/>
    </row>
    <row r="6" spans="1:9" s="4" customFormat="1" ht="17.25" customHeight="1">
      <c r="A6" s="701"/>
      <c r="B6" s="555"/>
      <c r="C6" s="555"/>
      <c r="D6" s="5" t="s">
        <v>10</v>
      </c>
      <c r="E6" s="6"/>
      <c r="F6" s="6"/>
      <c r="G6" s="6"/>
      <c r="H6" s="12"/>
      <c r="I6" s="13"/>
    </row>
    <row r="7" spans="1:9" s="4" customFormat="1" ht="17.25" customHeight="1">
      <c r="A7" s="701"/>
      <c r="B7" s="555"/>
      <c r="C7" s="556"/>
      <c r="D7" s="5" t="s">
        <v>11</v>
      </c>
      <c r="E7" s="6"/>
      <c r="F7" s="6"/>
      <c r="G7" s="6"/>
      <c r="H7" s="12"/>
      <c r="I7" s="13"/>
    </row>
    <row r="8" spans="1:9" s="4" customFormat="1" ht="17.25" customHeight="1">
      <c r="A8" s="701"/>
      <c r="B8" s="555"/>
      <c r="C8" s="554" t="s">
        <v>12</v>
      </c>
      <c r="D8" s="5" t="s">
        <v>13</v>
      </c>
      <c r="E8" s="6"/>
      <c r="F8" s="6"/>
      <c r="G8" s="6"/>
      <c r="H8" s="12"/>
      <c r="I8" s="13"/>
    </row>
    <row r="9" spans="1:9" s="4" customFormat="1" ht="17.25" customHeight="1">
      <c r="A9" s="701"/>
      <c r="B9" s="555"/>
      <c r="C9" s="555"/>
      <c r="D9" s="5" t="s">
        <v>14</v>
      </c>
      <c r="E9" s="6"/>
      <c r="F9" s="6"/>
      <c r="G9" s="6"/>
      <c r="H9" s="12"/>
      <c r="I9" s="13"/>
    </row>
    <row r="10" spans="1:9" s="4" customFormat="1" ht="17.25" customHeight="1">
      <c r="A10" s="701"/>
      <c r="B10" s="555"/>
      <c r="C10" s="555"/>
      <c r="D10" s="5" t="s">
        <v>15</v>
      </c>
      <c r="E10" s="6"/>
      <c r="F10" s="6"/>
      <c r="G10" s="6"/>
      <c r="H10" s="12"/>
      <c r="I10" s="13"/>
    </row>
    <row r="11" spans="1:9" s="4" customFormat="1" ht="17.25" customHeight="1">
      <c r="A11" s="710"/>
      <c r="B11" s="556"/>
      <c r="C11" s="556"/>
      <c r="D11" s="5" t="s">
        <v>11</v>
      </c>
      <c r="E11" s="6"/>
      <c r="F11" s="6"/>
      <c r="G11" s="6"/>
      <c r="H11" s="12"/>
      <c r="I11" s="13"/>
    </row>
    <row r="12" spans="1:9" s="4" customFormat="1" ht="21.2" customHeight="1">
      <c r="A12" s="700">
        <v>2</v>
      </c>
      <c r="B12" s="554" t="s">
        <v>16</v>
      </c>
      <c r="C12" s="5" t="s">
        <v>7</v>
      </c>
      <c r="D12" s="5" t="s">
        <v>8</v>
      </c>
      <c r="E12" s="6"/>
      <c r="F12" s="6"/>
      <c r="G12" s="6"/>
      <c r="H12" s="12"/>
      <c r="I12" s="13"/>
    </row>
    <row r="13" spans="1:9" s="4" customFormat="1" ht="17.25" customHeight="1">
      <c r="A13" s="701"/>
      <c r="B13" s="555"/>
      <c r="C13" s="554" t="s">
        <v>12</v>
      </c>
      <c r="D13" s="5" t="s">
        <v>17</v>
      </c>
      <c r="E13" s="6"/>
      <c r="F13" s="6"/>
      <c r="G13" s="6"/>
      <c r="H13" s="12"/>
      <c r="I13" s="13"/>
    </row>
    <row r="14" spans="1:9" s="4" customFormat="1" ht="17.25" customHeight="1">
      <c r="A14" s="701"/>
      <c r="B14" s="555"/>
      <c r="C14" s="555"/>
      <c r="D14" s="5" t="s">
        <v>18</v>
      </c>
      <c r="E14" s="6"/>
      <c r="F14" s="6"/>
      <c r="G14" s="6"/>
      <c r="H14" s="12"/>
      <c r="I14" s="13"/>
    </row>
    <row r="15" spans="1:9" s="4" customFormat="1" ht="17.25" customHeight="1">
      <c r="A15" s="710"/>
      <c r="B15" s="556"/>
      <c r="C15" s="556"/>
      <c r="D15" s="5" t="s">
        <v>11</v>
      </c>
      <c r="E15" s="6"/>
      <c r="F15" s="6"/>
      <c r="G15" s="6"/>
      <c r="H15" s="12"/>
      <c r="I15" s="13"/>
    </row>
    <row r="16" spans="1:9" s="4" customFormat="1" ht="21.2" customHeight="1">
      <c r="A16" s="700">
        <v>3</v>
      </c>
      <c r="B16" s="554" t="s">
        <v>54</v>
      </c>
      <c r="C16" s="5" t="s">
        <v>7</v>
      </c>
      <c r="D16" s="5" t="s">
        <v>8</v>
      </c>
      <c r="E16" s="6"/>
      <c r="F16" s="6"/>
      <c r="G16" s="6"/>
      <c r="H16" s="12"/>
      <c r="I16" s="13"/>
    </row>
    <row r="17" spans="1:9" s="4" customFormat="1" ht="17.25" customHeight="1">
      <c r="A17" s="701"/>
      <c r="B17" s="555"/>
      <c r="C17" s="554" t="s">
        <v>12</v>
      </c>
      <c r="D17" s="5" t="s">
        <v>17</v>
      </c>
      <c r="E17" s="6"/>
      <c r="F17" s="6"/>
      <c r="G17" s="6"/>
      <c r="H17" s="12"/>
      <c r="I17" s="13"/>
    </row>
    <row r="18" spans="1:9" s="4" customFormat="1" ht="17.25" customHeight="1">
      <c r="A18" s="701"/>
      <c r="B18" s="555"/>
      <c r="C18" s="555"/>
      <c r="D18" s="5" t="s">
        <v>18</v>
      </c>
      <c r="E18" s="6"/>
      <c r="F18" s="6"/>
      <c r="G18" s="6"/>
      <c r="H18" s="12"/>
      <c r="I18" s="13"/>
    </row>
    <row r="19" spans="1:9" s="4" customFormat="1" ht="17.25" customHeight="1">
      <c r="A19" s="701"/>
      <c r="B19" s="555"/>
      <c r="C19" s="555"/>
      <c r="D19" s="5" t="s">
        <v>19</v>
      </c>
      <c r="E19" s="6"/>
      <c r="F19" s="6"/>
      <c r="G19" s="6"/>
      <c r="H19" s="12"/>
      <c r="I19" s="13"/>
    </row>
    <row r="20" spans="1:9" s="4" customFormat="1" ht="17.25" customHeight="1">
      <c r="A20" s="710"/>
      <c r="B20" s="556"/>
      <c r="C20" s="556"/>
      <c r="D20" s="5" t="s">
        <v>11</v>
      </c>
      <c r="E20" s="6"/>
      <c r="F20" s="6"/>
      <c r="G20" s="6"/>
      <c r="H20" s="12"/>
      <c r="I20" s="13"/>
    </row>
    <row r="21" spans="1:9" s="4" customFormat="1" ht="21.2" customHeight="1">
      <c r="A21" s="700">
        <v>4</v>
      </c>
      <c r="B21" s="554" t="s">
        <v>20</v>
      </c>
      <c r="C21" s="5" t="s">
        <v>7</v>
      </c>
      <c r="D21" s="5" t="s">
        <v>8</v>
      </c>
      <c r="E21" s="6"/>
      <c r="F21" s="6"/>
      <c r="G21" s="6"/>
      <c r="H21" s="12"/>
      <c r="I21" s="13"/>
    </row>
    <row r="22" spans="1:9" s="4" customFormat="1" ht="17.25" customHeight="1">
      <c r="A22" s="701"/>
      <c r="B22" s="555"/>
      <c r="C22" s="554" t="s">
        <v>12</v>
      </c>
      <c r="D22" s="5" t="s">
        <v>17</v>
      </c>
      <c r="E22" s="6"/>
      <c r="F22" s="6"/>
      <c r="G22" s="6"/>
      <c r="H22" s="12"/>
      <c r="I22" s="13"/>
    </row>
    <row r="23" spans="1:9" s="4" customFormat="1" ht="17.25" customHeight="1">
      <c r="A23" s="701"/>
      <c r="B23" s="555"/>
      <c r="C23" s="555"/>
      <c r="D23" s="5" t="s">
        <v>18</v>
      </c>
      <c r="E23" s="6"/>
      <c r="F23" s="6"/>
      <c r="G23" s="6"/>
      <c r="H23" s="12"/>
      <c r="I23" s="13"/>
    </row>
    <row r="24" spans="1:9" s="4" customFormat="1" ht="17.25" customHeight="1">
      <c r="A24" s="710"/>
      <c r="B24" s="556"/>
      <c r="C24" s="556"/>
      <c r="D24" s="5" t="s">
        <v>11</v>
      </c>
      <c r="E24" s="6"/>
      <c r="F24" s="6"/>
      <c r="G24" s="6"/>
      <c r="H24" s="12"/>
      <c r="I24" s="13"/>
    </row>
    <row r="25" spans="1:9" s="4" customFormat="1" ht="17.25" customHeight="1">
      <c r="A25" s="700">
        <v>5</v>
      </c>
      <c r="B25" s="554" t="s">
        <v>21</v>
      </c>
      <c r="C25" s="554" t="s">
        <v>7</v>
      </c>
      <c r="D25" s="5" t="s">
        <v>8</v>
      </c>
      <c r="E25" s="6"/>
      <c r="F25" s="6"/>
      <c r="G25" s="6"/>
      <c r="H25" s="12"/>
      <c r="I25" s="13"/>
    </row>
    <row r="26" spans="1:9" s="4" customFormat="1" ht="17.25" customHeight="1">
      <c r="A26" s="701"/>
      <c r="B26" s="555"/>
      <c r="C26" s="556"/>
      <c r="D26" s="5" t="s">
        <v>11</v>
      </c>
      <c r="E26" s="6"/>
      <c r="F26" s="6"/>
      <c r="G26" s="6"/>
      <c r="H26" s="12"/>
      <c r="I26" s="13"/>
    </row>
    <row r="27" spans="1:9" s="4" customFormat="1" ht="17.25" customHeight="1">
      <c r="A27" s="701"/>
      <c r="B27" s="555"/>
      <c r="C27" s="554" t="s">
        <v>12</v>
      </c>
      <c r="D27" s="5" t="s">
        <v>22</v>
      </c>
      <c r="E27" s="6"/>
      <c r="F27" s="6"/>
      <c r="G27" s="6"/>
      <c r="H27" s="12"/>
      <c r="I27" s="13"/>
    </row>
    <row r="28" spans="1:9" s="4" customFormat="1" ht="17.25" customHeight="1">
      <c r="A28" s="701"/>
      <c r="B28" s="555"/>
      <c r="C28" s="555"/>
      <c r="D28" s="5" t="s">
        <v>23</v>
      </c>
      <c r="E28" s="6"/>
      <c r="F28" s="6"/>
      <c r="G28" s="6"/>
      <c r="H28" s="12"/>
      <c r="I28" s="13"/>
    </row>
    <row r="29" spans="1:9" s="4" customFormat="1" ht="17.25" customHeight="1">
      <c r="A29" s="701"/>
      <c r="B29" s="555"/>
      <c r="C29" s="555"/>
      <c r="D29" s="5" t="s">
        <v>24</v>
      </c>
      <c r="E29" s="6"/>
      <c r="F29" s="6"/>
      <c r="G29" s="6"/>
      <c r="H29" s="12"/>
      <c r="I29" s="13"/>
    </row>
    <row r="30" spans="1:9" s="4" customFormat="1" ht="17.25" customHeight="1">
      <c r="A30" s="701"/>
      <c r="B30" s="555"/>
      <c r="C30" s="555"/>
      <c r="D30" s="5" t="s">
        <v>55</v>
      </c>
      <c r="E30" s="6"/>
      <c r="F30" s="6"/>
      <c r="G30" s="6"/>
      <c r="H30" s="12"/>
      <c r="I30" s="13"/>
    </row>
    <row r="31" spans="1:9" s="4" customFormat="1" ht="17.25" customHeight="1">
      <c r="A31" s="701"/>
      <c r="B31" s="555"/>
      <c r="C31" s="555"/>
      <c r="D31" s="5" t="s">
        <v>25</v>
      </c>
      <c r="E31" s="6"/>
      <c r="F31" s="6"/>
      <c r="G31" s="6"/>
      <c r="H31" s="12"/>
      <c r="I31" s="13"/>
    </row>
    <row r="32" spans="1:9" s="4" customFormat="1" ht="17.25" customHeight="1">
      <c r="A32" s="710"/>
      <c r="B32" s="556"/>
      <c r="C32" s="556"/>
      <c r="D32" s="5" t="s">
        <v>11</v>
      </c>
      <c r="E32" s="6"/>
      <c r="F32" s="6"/>
      <c r="G32" s="6"/>
      <c r="H32" s="12"/>
      <c r="I32" s="13"/>
    </row>
    <row r="33" spans="1:9" s="4" customFormat="1" ht="17.25" customHeight="1">
      <c r="A33" s="700">
        <v>6</v>
      </c>
      <c r="B33" s="554" t="s">
        <v>56</v>
      </c>
      <c r="C33" s="554" t="s">
        <v>7</v>
      </c>
      <c r="D33" s="5" t="s">
        <v>8</v>
      </c>
      <c r="E33" s="6"/>
      <c r="F33" s="6"/>
      <c r="G33" s="6"/>
      <c r="H33" s="12"/>
      <c r="I33" s="13"/>
    </row>
    <row r="34" spans="1:9" s="4" customFormat="1" ht="17.25" customHeight="1">
      <c r="A34" s="701"/>
      <c r="B34" s="555"/>
      <c r="C34" s="556"/>
      <c r="D34" s="5" t="s">
        <v>11</v>
      </c>
      <c r="E34" s="6"/>
      <c r="F34" s="6"/>
      <c r="G34" s="6"/>
      <c r="H34" s="12"/>
      <c r="I34" s="13"/>
    </row>
    <row r="35" spans="1:9" s="4" customFormat="1" ht="17.25" customHeight="1">
      <c r="A35" s="701"/>
      <c r="B35" s="555"/>
      <c r="C35" s="554" t="s">
        <v>12</v>
      </c>
      <c r="D35" s="5" t="s">
        <v>15</v>
      </c>
      <c r="E35" s="6"/>
      <c r="F35" s="6"/>
      <c r="G35" s="6"/>
      <c r="H35" s="12"/>
      <c r="I35" s="13"/>
    </row>
    <row r="36" spans="1:9" s="4" customFormat="1" ht="17.25" customHeight="1">
      <c r="A36" s="710"/>
      <c r="B36" s="556"/>
      <c r="C36" s="556"/>
      <c r="D36" s="5" t="s">
        <v>11</v>
      </c>
      <c r="E36" s="6"/>
      <c r="F36" s="6"/>
      <c r="G36" s="6"/>
      <c r="H36" s="12"/>
      <c r="I36" s="13"/>
    </row>
    <row r="37" spans="1:9" s="4" customFormat="1" ht="17.25" customHeight="1">
      <c r="A37" s="700">
        <v>7</v>
      </c>
      <c r="B37" s="554" t="s">
        <v>26</v>
      </c>
      <c r="C37" s="554" t="s">
        <v>7</v>
      </c>
      <c r="D37" s="5" t="s">
        <v>8</v>
      </c>
      <c r="E37" s="6"/>
      <c r="F37" s="6"/>
      <c r="G37" s="6"/>
      <c r="H37" s="12"/>
      <c r="I37" s="13"/>
    </row>
    <row r="38" spans="1:9" s="4" customFormat="1" ht="17.25" customHeight="1">
      <c r="A38" s="701"/>
      <c r="B38" s="555"/>
      <c r="C38" s="556"/>
      <c r="D38" s="5" t="s">
        <v>11</v>
      </c>
      <c r="E38" s="6"/>
      <c r="F38" s="6"/>
      <c r="G38" s="6"/>
      <c r="H38" s="12"/>
      <c r="I38" s="13"/>
    </row>
    <row r="39" spans="1:9" s="4" customFormat="1" ht="17.25" customHeight="1">
      <c r="A39" s="701"/>
      <c r="B39" s="555"/>
      <c r="C39" s="554" t="s">
        <v>12</v>
      </c>
      <c r="D39" s="5" t="s">
        <v>8</v>
      </c>
      <c r="E39" s="6"/>
      <c r="F39" s="6"/>
      <c r="G39" s="6"/>
      <c r="H39" s="12"/>
      <c r="I39" s="13"/>
    </row>
    <row r="40" spans="1:9" s="4" customFormat="1" ht="17.25" customHeight="1">
      <c r="A40" s="710"/>
      <c r="B40" s="556"/>
      <c r="C40" s="556"/>
      <c r="D40" s="5" t="s">
        <v>11</v>
      </c>
      <c r="E40" s="6"/>
      <c r="F40" s="6"/>
      <c r="G40" s="6"/>
      <c r="H40" s="12"/>
      <c r="I40" s="13"/>
    </row>
    <row r="41" spans="1:9" s="4" customFormat="1" ht="17.25" customHeight="1">
      <c r="A41" s="700">
        <v>8</v>
      </c>
      <c r="B41" s="554" t="s">
        <v>27</v>
      </c>
      <c r="C41" s="554" t="s">
        <v>7</v>
      </c>
      <c r="D41" s="5" t="s">
        <v>8</v>
      </c>
      <c r="E41" s="6"/>
      <c r="F41" s="6"/>
      <c r="G41" s="6"/>
      <c r="H41" s="12"/>
      <c r="I41" s="13"/>
    </row>
    <row r="42" spans="1:9" s="4" customFormat="1" ht="17.25" customHeight="1">
      <c r="A42" s="701"/>
      <c r="B42" s="555"/>
      <c r="C42" s="556"/>
      <c r="D42" s="5" t="s">
        <v>11</v>
      </c>
      <c r="E42" s="6"/>
      <c r="F42" s="6"/>
      <c r="G42" s="6"/>
      <c r="H42" s="12"/>
      <c r="I42" s="13"/>
    </row>
    <row r="43" spans="1:9" s="4" customFormat="1" ht="17.25" customHeight="1">
      <c r="A43" s="701"/>
      <c r="B43" s="555"/>
      <c r="C43" s="554" t="s">
        <v>12</v>
      </c>
      <c r="D43" s="5" t="s">
        <v>8</v>
      </c>
      <c r="E43" s="6"/>
      <c r="F43" s="6"/>
      <c r="G43" s="6"/>
      <c r="H43" s="12"/>
      <c r="I43" s="13"/>
    </row>
    <row r="44" spans="1:9" s="4" customFormat="1" ht="17.25" customHeight="1">
      <c r="A44" s="710"/>
      <c r="B44" s="556"/>
      <c r="C44" s="556"/>
      <c r="D44" s="5" t="s">
        <v>11</v>
      </c>
      <c r="E44" s="6"/>
      <c r="F44" s="6"/>
      <c r="G44" s="6"/>
      <c r="H44" s="12"/>
      <c r="I44" s="13"/>
    </row>
    <row r="45" spans="1:9" s="4" customFormat="1" ht="17.25" customHeight="1">
      <c r="A45" s="700">
        <v>9</v>
      </c>
      <c r="B45" s="554" t="s">
        <v>28</v>
      </c>
      <c r="C45" s="554" t="s">
        <v>7</v>
      </c>
      <c r="D45" s="5" t="s">
        <v>8</v>
      </c>
      <c r="E45" s="6"/>
      <c r="F45" s="6"/>
      <c r="G45" s="6"/>
      <c r="H45" s="12"/>
      <c r="I45" s="13"/>
    </row>
    <row r="46" spans="1:9" s="4" customFormat="1" ht="17.25" customHeight="1">
      <c r="A46" s="701"/>
      <c r="B46" s="555"/>
      <c r="C46" s="556"/>
      <c r="D46" s="5" t="s">
        <v>11</v>
      </c>
      <c r="E46" s="6"/>
      <c r="F46" s="6"/>
      <c r="G46" s="6"/>
      <c r="H46" s="12"/>
      <c r="I46" s="13"/>
    </row>
    <row r="47" spans="1:9" s="4" customFormat="1" ht="17.25" customHeight="1">
      <c r="A47" s="701"/>
      <c r="B47" s="555"/>
      <c r="C47" s="554" t="s">
        <v>12</v>
      </c>
      <c r="D47" s="5" t="s">
        <v>8</v>
      </c>
      <c r="E47" s="6"/>
      <c r="F47" s="6"/>
      <c r="G47" s="6"/>
      <c r="H47" s="12"/>
      <c r="I47" s="13"/>
    </row>
    <row r="48" spans="1:9" s="4" customFormat="1" ht="17.25" customHeight="1">
      <c r="A48" s="710"/>
      <c r="B48" s="556"/>
      <c r="C48" s="556"/>
      <c r="D48" s="5" t="s">
        <v>11</v>
      </c>
      <c r="E48" s="6"/>
      <c r="F48" s="6"/>
      <c r="G48" s="6"/>
      <c r="H48" s="12"/>
      <c r="I48" s="13"/>
    </row>
    <row r="49" spans="1:9" s="4" customFormat="1" ht="17.25" customHeight="1">
      <c r="A49" s="700">
        <v>10</v>
      </c>
      <c r="B49" s="554" t="s">
        <v>57</v>
      </c>
      <c r="C49" s="554" t="s">
        <v>7</v>
      </c>
      <c r="D49" s="11" t="s">
        <v>58</v>
      </c>
      <c r="E49" s="6"/>
      <c r="F49" s="6"/>
      <c r="G49" s="6"/>
      <c r="H49" s="12"/>
      <c r="I49" s="13"/>
    </row>
    <row r="50" spans="1:9" s="4" customFormat="1" ht="17.25" customHeight="1">
      <c r="A50" s="701"/>
      <c r="B50" s="555"/>
      <c r="C50" s="556"/>
      <c r="D50" s="7" t="s">
        <v>11</v>
      </c>
      <c r="E50" s="6"/>
      <c r="F50" s="6"/>
      <c r="G50" s="6"/>
      <c r="H50" s="12"/>
      <c r="I50" s="13"/>
    </row>
    <row r="51" spans="1:9" s="4" customFormat="1" ht="17.25" customHeight="1">
      <c r="A51" s="701"/>
      <c r="B51" s="555"/>
      <c r="C51" s="554" t="s">
        <v>12</v>
      </c>
      <c r="D51" s="11" t="s">
        <v>31</v>
      </c>
      <c r="E51" s="6"/>
      <c r="F51" s="6"/>
      <c r="G51" s="6"/>
      <c r="H51" s="12"/>
      <c r="I51" s="13"/>
    </row>
    <row r="52" spans="1:9" s="4" customFormat="1" ht="17.25" customHeight="1">
      <c r="A52" s="710"/>
      <c r="B52" s="556"/>
      <c r="C52" s="556"/>
      <c r="D52" s="7" t="s">
        <v>11</v>
      </c>
      <c r="E52" s="6"/>
      <c r="F52" s="6"/>
      <c r="G52" s="6"/>
      <c r="H52" s="12"/>
      <c r="I52" s="13"/>
    </row>
    <row r="53" spans="1:9" s="4" customFormat="1" ht="17.25" customHeight="1">
      <c r="A53" s="700">
        <v>11</v>
      </c>
      <c r="B53" s="554" t="s">
        <v>32</v>
      </c>
      <c r="C53" s="520" t="s">
        <v>7</v>
      </c>
      <c r="D53" s="509"/>
      <c r="E53" s="6"/>
      <c r="F53" s="6"/>
      <c r="G53" s="6"/>
      <c r="H53" s="12"/>
      <c r="I53" s="13"/>
    </row>
    <row r="54" spans="1:9" s="4" customFormat="1" ht="17.25" customHeight="1">
      <c r="A54" s="710"/>
      <c r="B54" s="556"/>
      <c r="C54" s="520" t="s">
        <v>12</v>
      </c>
      <c r="D54" s="509"/>
      <c r="E54" s="6"/>
      <c r="F54" s="6"/>
      <c r="G54" s="6"/>
      <c r="H54" s="12"/>
      <c r="I54" s="13"/>
    </row>
    <row r="55" spans="1:9" s="4" customFormat="1" ht="17.25" customHeight="1">
      <c r="A55" s="700">
        <v>12</v>
      </c>
      <c r="B55" s="711" t="s">
        <v>59</v>
      </c>
      <c r="C55" s="520" t="s">
        <v>7</v>
      </c>
      <c r="D55" s="509"/>
      <c r="E55" s="6"/>
      <c r="F55" s="6"/>
      <c r="G55" s="6"/>
      <c r="H55" s="12"/>
      <c r="I55" s="13"/>
    </row>
    <row r="56" spans="1:9" s="4" customFormat="1" ht="17.25" customHeight="1">
      <c r="A56" s="710"/>
      <c r="B56" s="712"/>
      <c r="C56" s="520" t="s">
        <v>12</v>
      </c>
      <c r="D56" s="509"/>
      <c r="E56" s="6"/>
      <c r="F56" s="6"/>
      <c r="G56" s="6"/>
      <c r="H56" s="12"/>
      <c r="I56" s="13"/>
    </row>
    <row r="57" spans="1:9" s="4" customFormat="1" ht="17.25" customHeight="1">
      <c r="A57" s="700">
        <v>13</v>
      </c>
      <c r="B57" s="554" t="s">
        <v>33</v>
      </c>
      <c r="C57" s="520" t="s">
        <v>7</v>
      </c>
      <c r="D57" s="509"/>
      <c r="E57" s="6"/>
      <c r="F57" s="6"/>
      <c r="G57" s="6"/>
      <c r="H57" s="12"/>
      <c r="I57" s="13"/>
    </row>
    <row r="58" spans="1:9" s="4" customFormat="1" ht="17.25" customHeight="1">
      <c r="A58" s="710"/>
      <c r="B58" s="556"/>
      <c r="C58" s="520" t="s">
        <v>12</v>
      </c>
      <c r="D58" s="509"/>
      <c r="E58" s="6"/>
      <c r="F58" s="6"/>
      <c r="G58" s="6"/>
      <c r="H58" s="12"/>
      <c r="I58" s="13"/>
    </row>
    <row r="59" spans="1:9" s="4" customFormat="1" ht="17.25" customHeight="1">
      <c r="A59" s="700">
        <v>14</v>
      </c>
      <c r="B59" s="554" t="s">
        <v>34</v>
      </c>
      <c r="C59" s="554" t="s">
        <v>7</v>
      </c>
      <c r="D59" s="5" t="s">
        <v>8</v>
      </c>
      <c r="E59" s="6"/>
      <c r="F59" s="6"/>
      <c r="G59" s="6"/>
      <c r="H59" s="12"/>
      <c r="I59" s="13"/>
    </row>
    <row r="60" spans="1:9" s="4" customFormat="1" ht="17.25" customHeight="1">
      <c r="A60" s="701"/>
      <c r="B60" s="555"/>
      <c r="C60" s="556"/>
      <c r="D60" s="5" t="s">
        <v>11</v>
      </c>
      <c r="E60" s="6"/>
      <c r="F60" s="6"/>
      <c r="G60" s="6"/>
      <c r="H60" s="12"/>
      <c r="I60" s="13"/>
    </row>
    <row r="61" spans="1:9" s="4" customFormat="1" ht="17.25" customHeight="1">
      <c r="A61" s="701"/>
      <c r="B61" s="555"/>
      <c r="C61" s="554" t="s">
        <v>12</v>
      </c>
      <c r="D61" s="5" t="s">
        <v>8</v>
      </c>
      <c r="E61" s="6"/>
      <c r="F61" s="6"/>
      <c r="G61" s="6"/>
      <c r="H61" s="12"/>
      <c r="I61" s="13"/>
    </row>
    <row r="62" spans="1:9" s="4" customFormat="1" ht="17.25" customHeight="1">
      <c r="A62" s="710"/>
      <c r="B62" s="556"/>
      <c r="C62" s="556"/>
      <c r="D62" s="5" t="s">
        <v>11</v>
      </c>
      <c r="E62" s="6"/>
      <c r="F62" s="6"/>
      <c r="G62" s="6"/>
      <c r="H62" s="12"/>
      <c r="I62" s="13"/>
    </row>
    <row r="63" spans="1:9" s="4" customFormat="1">
      <c r="A63" s="706">
        <v>15</v>
      </c>
      <c r="B63" s="554" t="s">
        <v>35</v>
      </c>
      <c r="C63" s="520" t="s">
        <v>7</v>
      </c>
      <c r="D63" s="509"/>
      <c r="E63" s="6"/>
      <c r="F63" s="6"/>
      <c r="G63" s="6"/>
      <c r="H63" s="12"/>
      <c r="I63" s="13"/>
    </row>
    <row r="64" spans="1:9" s="4" customFormat="1">
      <c r="A64" s="707"/>
      <c r="B64" s="555"/>
      <c r="C64" s="708" t="s">
        <v>12</v>
      </c>
      <c r="D64" s="709"/>
      <c r="E64" s="8"/>
      <c r="F64" s="8"/>
      <c r="G64" s="8"/>
      <c r="H64" s="14"/>
      <c r="I64" s="13"/>
    </row>
    <row r="65" spans="1:9" s="4" customFormat="1">
      <c r="A65" s="706">
        <v>16</v>
      </c>
      <c r="B65" s="554" t="s">
        <v>36</v>
      </c>
      <c r="C65" s="520" t="s">
        <v>7</v>
      </c>
      <c r="D65" s="509"/>
      <c r="E65" s="6"/>
      <c r="F65" s="6"/>
      <c r="G65" s="6"/>
      <c r="H65" s="12"/>
      <c r="I65" s="13"/>
    </row>
    <row r="66" spans="1:9" s="4" customFormat="1">
      <c r="A66" s="707"/>
      <c r="B66" s="555"/>
      <c r="C66" s="708" t="s">
        <v>12</v>
      </c>
      <c r="D66" s="709"/>
      <c r="E66" s="8"/>
      <c r="F66" s="8"/>
      <c r="G66" s="8"/>
      <c r="H66" s="14"/>
      <c r="I66" s="13"/>
    </row>
    <row r="67" spans="1:9" s="4" customFormat="1">
      <c r="A67" s="706">
        <v>17</v>
      </c>
      <c r="B67" s="554" t="s">
        <v>37</v>
      </c>
      <c r="C67" s="520" t="s">
        <v>7</v>
      </c>
      <c r="D67" s="509"/>
      <c r="E67" s="6"/>
      <c r="F67" s="6"/>
      <c r="G67" s="6"/>
      <c r="H67" s="12"/>
      <c r="I67" s="13"/>
    </row>
    <row r="68" spans="1:9" s="4" customFormat="1">
      <c r="A68" s="707"/>
      <c r="B68" s="555"/>
      <c r="C68" s="708" t="s">
        <v>12</v>
      </c>
      <c r="D68" s="709"/>
      <c r="E68" s="8"/>
      <c r="F68" s="8"/>
      <c r="G68" s="8"/>
      <c r="H68" s="14"/>
      <c r="I68" s="13"/>
    </row>
    <row r="69" spans="1:9" s="4" customFormat="1">
      <c r="A69" s="706">
        <v>18</v>
      </c>
      <c r="B69" s="554" t="s">
        <v>38</v>
      </c>
      <c r="C69" s="520" t="s">
        <v>7</v>
      </c>
      <c r="D69" s="509"/>
      <c r="E69" s="6"/>
      <c r="F69" s="6"/>
      <c r="G69" s="6"/>
      <c r="H69" s="12"/>
      <c r="I69" s="13"/>
    </row>
    <row r="70" spans="1:9" s="4" customFormat="1">
      <c r="A70" s="707"/>
      <c r="B70" s="555"/>
      <c r="C70" s="708" t="s">
        <v>12</v>
      </c>
      <c r="D70" s="709"/>
      <c r="E70" s="8"/>
      <c r="F70" s="8"/>
      <c r="G70" s="8"/>
      <c r="H70" s="14"/>
      <c r="I70" s="13"/>
    </row>
    <row r="71" spans="1:9" s="4" customFormat="1">
      <c r="A71" s="706">
        <v>19</v>
      </c>
      <c r="B71" s="554" t="s">
        <v>39</v>
      </c>
      <c r="C71" s="520" t="s">
        <v>7</v>
      </c>
      <c r="D71" s="509"/>
      <c r="E71" s="6"/>
      <c r="F71" s="6"/>
      <c r="G71" s="6"/>
      <c r="H71" s="12"/>
      <c r="I71" s="13"/>
    </row>
    <row r="72" spans="1:9" s="4" customFormat="1">
      <c r="A72" s="707"/>
      <c r="B72" s="555"/>
      <c r="C72" s="708" t="s">
        <v>12</v>
      </c>
      <c r="D72" s="709"/>
      <c r="E72" s="8"/>
      <c r="F72" s="8"/>
      <c r="G72" s="8"/>
      <c r="H72" s="14"/>
      <c r="I72" s="13"/>
    </row>
    <row r="73" spans="1:9" s="4" customFormat="1">
      <c r="A73" s="706">
        <v>20</v>
      </c>
      <c r="B73" s="554" t="s">
        <v>40</v>
      </c>
      <c r="C73" s="520" t="s">
        <v>7</v>
      </c>
      <c r="D73" s="509"/>
      <c r="E73" s="6"/>
      <c r="F73" s="6"/>
      <c r="G73" s="6"/>
      <c r="H73" s="12"/>
      <c r="I73" s="13"/>
    </row>
    <row r="74" spans="1:9" s="4" customFormat="1">
      <c r="A74" s="707"/>
      <c r="B74" s="555"/>
      <c r="C74" s="708" t="s">
        <v>12</v>
      </c>
      <c r="D74" s="709"/>
      <c r="E74" s="8"/>
      <c r="F74" s="8"/>
      <c r="G74" s="8"/>
      <c r="H74" s="14"/>
      <c r="I74" s="13"/>
    </row>
    <row r="75" spans="1:9" s="4" customFormat="1">
      <c r="A75" s="706">
        <v>21</v>
      </c>
      <c r="B75" s="554" t="s">
        <v>41</v>
      </c>
      <c r="C75" s="520" t="s">
        <v>7</v>
      </c>
      <c r="D75" s="509"/>
      <c r="E75" s="6"/>
      <c r="F75" s="6"/>
      <c r="G75" s="6"/>
      <c r="H75" s="12"/>
      <c r="I75" s="13"/>
    </row>
    <row r="76" spans="1:9" s="4" customFormat="1">
      <c r="A76" s="707"/>
      <c r="B76" s="555"/>
      <c r="C76" s="708" t="s">
        <v>12</v>
      </c>
      <c r="D76" s="709"/>
      <c r="E76" s="8"/>
      <c r="F76" s="8"/>
      <c r="G76" s="8"/>
      <c r="H76" s="14"/>
      <c r="I76" s="13"/>
    </row>
    <row r="77" spans="1:9" s="4" customFormat="1">
      <c r="A77" s="700">
        <v>22</v>
      </c>
      <c r="B77" s="554" t="s">
        <v>60</v>
      </c>
      <c r="C77" s="702" t="s">
        <v>61</v>
      </c>
      <c r="D77" s="703"/>
      <c r="E77" s="6"/>
      <c r="F77" s="6"/>
      <c r="G77" s="6"/>
      <c r="H77" s="12"/>
      <c r="I77" s="13"/>
    </row>
    <row r="78" spans="1:9" s="4" customFormat="1">
      <c r="A78" s="701"/>
      <c r="B78" s="555"/>
      <c r="C78" s="520" t="s">
        <v>62</v>
      </c>
      <c r="D78" s="509"/>
      <c r="E78" s="6"/>
      <c r="F78" s="6"/>
      <c r="G78" s="6"/>
      <c r="H78" s="12"/>
      <c r="I78" s="13"/>
    </row>
    <row r="79" spans="1:9" s="4" customFormat="1">
      <c r="A79" s="701"/>
      <c r="B79" s="555"/>
      <c r="C79" s="520" t="s">
        <v>63</v>
      </c>
      <c r="D79" s="509"/>
      <c r="E79" s="6"/>
      <c r="F79" s="6"/>
      <c r="G79" s="6"/>
      <c r="H79" s="12"/>
      <c r="I79" s="13"/>
    </row>
    <row r="80" spans="1:9" s="4" customFormat="1">
      <c r="A80" s="701"/>
      <c r="B80" s="555"/>
      <c r="C80" s="520" t="s">
        <v>64</v>
      </c>
      <c r="D80" s="509"/>
      <c r="E80" s="6"/>
      <c r="F80" s="6"/>
      <c r="G80" s="6"/>
      <c r="H80" s="12"/>
      <c r="I80" s="13"/>
    </row>
    <row r="81" spans="1:9" s="4" customFormat="1">
      <c r="A81" s="701"/>
      <c r="B81" s="555"/>
      <c r="C81" s="704" t="s">
        <v>65</v>
      </c>
      <c r="D81" s="705"/>
      <c r="E81" s="8"/>
      <c r="F81" s="8"/>
      <c r="G81" s="8"/>
      <c r="H81" s="14"/>
      <c r="I81" s="13"/>
    </row>
    <row r="82" spans="1:9" s="4" customFormat="1">
      <c r="A82" s="491">
        <v>23</v>
      </c>
      <c r="B82" s="480" t="s">
        <v>66</v>
      </c>
      <c r="C82" s="695" t="s">
        <v>67</v>
      </c>
      <c r="D82" s="696"/>
      <c r="E82" s="13"/>
      <c r="F82" s="13"/>
      <c r="G82" s="13"/>
      <c r="H82" s="23"/>
      <c r="I82" s="13"/>
    </row>
    <row r="83" spans="1:9" s="4" customFormat="1">
      <c r="A83" s="491"/>
      <c r="B83" s="480"/>
      <c r="C83" s="695" t="s">
        <v>68</v>
      </c>
      <c r="D83" s="696"/>
      <c r="E83" s="13"/>
      <c r="F83" s="13"/>
      <c r="G83" s="13"/>
      <c r="H83" s="23"/>
      <c r="I83" s="13"/>
    </row>
    <row r="84" spans="1:9" s="4" customFormat="1">
      <c r="A84" s="491"/>
      <c r="B84" s="480"/>
      <c r="C84" s="695" t="s">
        <v>69</v>
      </c>
      <c r="D84" s="696"/>
      <c r="E84" s="13"/>
      <c r="F84" s="13"/>
      <c r="G84" s="13"/>
      <c r="H84" s="23"/>
      <c r="I84" s="13"/>
    </row>
    <row r="85" spans="1:9" s="4" customFormat="1">
      <c r="A85" s="491"/>
      <c r="B85" s="480"/>
      <c r="C85" s="695" t="s">
        <v>70</v>
      </c>
      <c r="D85" s="696"/>
      <c r="E85" s="13"/>
      <c r="F85" s="13"/>
      <c r="G85" s="13"/>
      <c r="H85" s="23"/>
      <c r="I85" s="13"/>
    </row>
    <row r="86" spans="1:9" s="4" customFormat="1">
      <c r="A86" s="491"/>
      <c r="B86" s="480"/>
      <c r="C86" s="695" t="s">
        <v>71</v>
      </c>
      <c r="D86" s="696"/>
      <c r="E86" s="13"/>
      <c r="F86" s="13"/>
      <c r="G86" s="13"/>
      <c r="H86" s="23"/>
      <c r="I86" s="13"/>
    </row>
    <row r="87" spans="1:9" s="4" customFormat="1">
      <c r="A87" s="491"/>
      <c r="B87" s="480"/>
      <c r="C87" s="695" t="s">
        <v>72</v>
      </c>
      <c r="D87" s="696"/>
      <c r="E87" s="13"/>
      <c r="F87" s="13"/>
      <c r="G87" s="13"/>
      <c r="H87" s="23"/>
      <c r="I87" s="13"/>
    </row>
    <row r="88" spans="1:9" s="4" customFormat="1">
      <c r="A88" s="491"/>
      <c r="B88" s="480"/>
      <c r="C88" s="695" t="s">
        <v>73</v>
      </c>
      <c r="D88" s="696"/>
      <c r="E88" s="13"/>
      <c r="F88" s="13"/>
      <c r="G88" s="13"/>
      <c r="H88" s="23"/>
      <c r="I88" s="13"/>
    </row>
    <row r="89" spans="1:9" s="4" customFormat="1">
      <c r="A89" s="491"/>
      <c r="B89" s="480"/>
      <c r="C89" s="695" t="s">
        <v>11</v>
      </c>
      <c r="D89" s="696"/>
      <c r="E89" s="13"/>
      <c r="F89" s="13"/>
      <c r="G89" s="13"/>
      <c r="H89" s="23"/>
      <c r="I89" s="13"/>
    </row>
    <row r="90" spans="1:9" s="4" customFormat="1" ht="31.5" customHeight="1">
      <c r="A90" s="491">
        <v>24</v>
      </c>
      <c r="B90" s="480" t="s">
        <v>74</v>
      </c>
      <c r="C90" s="695" t="s">
        <v>75</v>
      </c>
      <c r="D90" s="696"/>
      <c r="E90" s="13"/>
      <c r="F90" s="13"/>
      <c r="G90" s="13"/>
      <c r="H90" s="23"/>
      <c r="I90" s="13"/>
    </row>
    <row r="91" spans="1:9" s="4" customFormat="1">
      <c r="A91" s="491"/>
      <c r="B91" s="480"/>
      <c r="C91" s="695" t="s">
        <v>76</v>
      </c>
      <c r="D91" s="696"/>
      <c r="E91" s="13"/>
      <c r="F91" s="13"/>
      <c r="G91" s="13"/>
      <c r="H91" s="23"/>
      <c r="I91" s="13"/>
    </row>
    <row r="92" spans="1:9" s="4" customFormat="1">
      <c r="A92" s="491"/>
      <c r="B92" s="480"/>
      <c r="C92" s="695" t="s">
        <v>77</v>
      </c>
      <c r="D92" s="696"/>
      <c r="E92" s="13"/>
      <c r="F92" s="13"/>
      <c r="G92" s="13"/>
      <c r="H92" s="23"/>
      <c r="I92" s="13"/>
    </row>
    <row r="93" spans="1:9" s="4" customFormat="1" ht="15.75" customHeight="1">
      <c r="A93" s="15">
        <v>25</v>
      </c>
      <c r="B93" s="695" t="s">
        <v>42</v>
      </c>
      <c r="C93" s="697"/>
      <c r="D93" s="696"/>
      <c r="E93" s="13"/>
      <c r="F93" s="13"/>
      <c r="G93" s="13"/>
      <c r="H93" s="23"/>
      <c r="I93" s="13"/>
    </row>
    <row r="94" spans="1:9" s="4" customFormat="1">
      <c r="A94" s="491">
        <v>26</v>
      </c>
      <c r="B94" s="480" t="s">
        <v>78</v>
      </c>
      <c r="C94" s="695" t="s">
        <v>79</v>
      </c>
      <c r="D94" s="696"/>
      <c r="E94" s="13"/>
      <c r="F94" s="13"/>
      <c r="G94" s="13"/>
      <c r="H94" s="23"/>
      <c r="I94" s="13"/>
    </row>
    <row r="95" spans="1:9" s="4" customFormat="1">
      <c r="A95" s="491"/>
      <c r="B95" s="480"/>
      <c r="C95" s="695" t="s">
        <v>80</v>
      </c>
      <c r="D95" s="696"/>
      <c r="E95" s="13"/>
      <c r="F95" s="13"/>
      <c r="G95" s="13"/>
      <c r="H95" s="23"/>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22" customFormat="1" ht="15">
      <c r="A106" s="791">
        <v>27</v>
      </c>
      <c r="B106" s="794" t="s">
        <v>438</v>
      </c>
      <c r="C106" s="797" t="s">
        <v>7</v>
      </c>
      <c r="D106" s="798"/>
      <c r="E106" s="130" t="s">
        <v>439</v>
      </c>
      <c r="F106" s="131">
        <v>10</v>
      </c>
      <c r="G106" s="132">
        <v>14500</v>
      </c>
      <c r="H106" s="133">
        <f>F106*G106</f>
        <v>145000</v>
      </c>
      <c r="I106" s="131" t="s">
        <v>440</v>
      </c>
    </row>
    <row r="107" spans="1:9" s="22" customFormat="1" ht="15.75" customHeight="1">
      <c r="A107" s="792"/>
      <c r="B107" s="795"/>
      <c r="C107" s="799"/>
      <c r="D107" s="800"/>
      <c r="E107" s="130" t="s">
        <v>441</v>
      </c>
      <c r="F107" s="131">
        <v>1</v>
      </c>
      <c r="G107" s="132">
        <v>20000</v>
      </c>
      <c r="H107" s="133">
        <f t="shared" ref="H107:H113" si="0">F107*G107</f>
        <v>20000</v>
      </c>
      <c r="I107" s="131" t="s">
        <v>440</v>
      </c>
    </row>
    <row r="108" spans="1:9" s="22" customFormat="1" ht="15.75" customHeight="1">
      <c r="A108" s="792"/>
      <c r="B108" s="795"/>
      <c r="C108" s="799"/>
      <c r="D108" s="800"/>
      <c r="E108" s="130" t="s">
        <v>442</v>
      </c>
      <c r="F108" s="131">
        <v>1</v>
      </c>
      <c r="G108" s="132">
        <v>20000</v>
      </c>
      <c r="H108" s="133">
        <f t="shared" si="0"/>
        <v>20000</v>
      </c>
      <c r="I108" s="131" t="s">
        <v>440</v>
      </c>
    </row>
    <row r="109" spans="1:9" s="22" customFormat="1" ht="15.75" customHeight="1">
      <c r="A109" s="792"/>
      <c r="B109" s="795"/>
      <c r="C109" s="799"/>
      <c r="D109" s="800"/>
      <c r="E109" s="130" t="s">
        <v>443</v>
      </c>
      <c r="F109" s="131">
        <v>1</v>
      </c>
      <c r="G109" s="132">
        <v>10000</v>
      </c>
      <c r="H109" s="133">
        <f t="shared" si="0"/>
        <v>10000</v>
      </c>
      <c r="I109" s="131" t="s">
        <v>440</v>
      </c>
    </row>
    <row r="110" spans="1:9" s="22" customFormat="1" ht="15.75" customHeight="1">
      <c r="A110" s="792"/>
      <c r="B110" s="795"/>
      <c r="C110" s="799"/>
      <c r="D110" s="800"/>
      <c r="E110" s="130" t="s">
        <v>444</v>
      </c>
      <c r="F110" s="131">
        <v>1</v>
      </c>
      <c r="G110" s="132">
        <v>17000</v>
      </c>
      <c r="H110" s="133">
        <f t="shared" si="0"/>
        <v>17000</v>
      </c>
      <c r="I110" s="131" t="s">
        <v>440</v>
      </c>
    </row>
    <row r="111" spans="1:9" s="22" customFormat="1" ht="15.75" customHeight="1">
      <c r="A111" s="792"/>
      <c r="B111" s="795"/>
      <c r="C111" s="799"/>
      <c r="D111" s="800"/>
      <c r="E111" s="130" t="s">
        <v>445</v>
      </c>
      <c r="F111" s="131">
        <v>1</v>
      </c>
      <c r="G111" s="132">
        <v>12000</v>
      </c>
      <c r="H111" s="133">
        <f t="shared" si="0"/>
        <v>12000</v>
      </c>
      <c r="I111" s="131" t="s">
        <v>440</v>
      </c>
    </row>
    <row r="112" spans="1:9" s="22" customFormat="1" ht="15.75" customHeight="1">
      <c r="A112" s="792"/>
      <c r="B112" s="795"/>
      <c r="C112" s="799"/>
      <c r="D112" s="800"/>
      <c r="E112" s="130" t="s">
        <v>446</v>
      </c>
      <c r="F112" s="131">
        <v>1</v>
      </c>
      <c r="G112" s="132">
        <v>24000</v>
      </c>
      <c r="H112" s="133">
        <f t="shared" si="0"/>
        <v>24000</v>
      </c>
      <c r="I112" s="131" t="s">
        <v>440</v>
      </c>
    </row>
    <row r="113" spans="1:9" s="22" customFormat="1" ht="15.75" customHeight="1">
      <c r="A113" s="792"/>
      <c r="B113" s="795"/>
      <c r="C113" s="679"/>
      <c r="D113" s="801"/>
      <c r="E113" s="130" t="s">
        <v>447</v>
      </c>
      <c r="F113" s="131">
        <v>6</v>
      </c>
      <c r="G113" s="132">
        <v>3500</v>
      </c>
      <c r="H113" s="133">
        <f t="shared" si="0"/>
        <v>21000</v>
      </c>
      <c r="I113" s="131" t="s">
        <v>440</v>
      </c>
    </row>
    <row r="114" spans="1:9" s="4" customFormat="1">
      <c r="A114" s="793"/>
      <c r="B114" s="796"/>
      <c r="C114" s="678" t="s">
        <v>12</v>
      </c>
      <c r="D114" s="802"/>
      <c r="E114" s="134" t="s">
        <v>448</v>
      </c>
      <c r="F114" s="134" t="s">
        <v>449</v>
      </c>
      <c r="G114" s="132">
        <v>60000</v>
      </c>
      <c r="H114" s="133">
        <v>60000</v>
      </c>
      <c r="I114" s="131" t="s">
        <v>440</v>
      </c>
    </row>
    <row r="115" spans="1:9" s="4" customFormat="1" ht="15.75" customHeight="1">
      <c r="A115" s="15">
        <v>27</v>
      </c>
      <c r="B115" s="695" t="s">
        <v>89</v>
      </c>
      <c r="C115" s="697"/>
      <c r="D115" s="696"/>
      <c r="E115" s="13"/>
      <c r="F115" s="13"/>
      <c r="G115" s="13"/>
      <c r="H115" s="23"/>
      <c r="I115" s="13"/>
    </row>
    <row r="116" spans="1:9" s="4" customFormat="1" ht="15.75" customHeight="1">
      <c r="A116" s="15">
        <v>28</v>
      </c>
      <c r="B116" s="695" t="s">
        <v>43</v>
      </c>
      <c r="C116" s="697"/>
      <c r="D116" s="696"/>
      <c r="E116" s="13"/>
      <c r="F116" s="13"/>
      <c r="G116" s="13"/>
      <c r="H116" s="23"/>
      <c r="I116" s="13"/>
    </row>
    <row r="117" spans="1:9" s="4" customFormat="1" ht="15.75" customHeight="1">
      <c r="A117" s="15">
        <v>29</v>
      </c>
      <c r="B117" s="480" t="s">
        <v>44</v>
      </c>
      <c r="C117" s="480"/>
      <c r="D117" s="480"/>
      <c r="E117" s="13"/>
      <c r="F117" s="13"/>
      <c r="G117" s="13"/>
      <c r="H117" s="23"/>
      <c r="I117" s="13"/>
    </row>
    <row r="118" spans="1:9" s="4" customFormat="1" ht="15.75" customHeight="1">
      <c r="A118" s="15">
        <v>30</v>
      </c>
      <c r="B118" s="480" t="s">
        <v>45</v>
      </c>
      <c r="C118" s="480"/>
      <c r="D118" s="480"/>
      <c r="E118" s="13"/>
      <c r="F118" s="13"/>
      <c r="G118" s="13"/>
      <c r="H118" s="23"/>
      <c r="I118" s="13"/>
    </row>
    <row r="119" spans="1:9">
      <c r="A119" s="16"/>
      <c r="B119" s="694" t="s">
        <v>90</v>
      </c>
      <c r="C119" s="694"/>
      <c r="D119" s="694"/>
      <c r="E119" s="24"/>
      <c r="F119" s="24"/>
      <c r="G119" s="24"/>
      <c r="H119" s="25"/>
      <c r="I119" s="24"/>
    </row>
    <row r="120" spans="1:9" s="17" customFormat="1" ht="42" customHeight="1">
      <c r="A120" s="667" t="s">
        <v>91</v>
      </c>
      <c r="B120" s="668"/>
      <c r="C120" s="668"/>
      <c r="D120" s="668"/>
      <c r="E120" s="668"/>
      <c r="F120" s="668"/>
      <c r="G120" s="668"/>
      <c r="H120" s="668"/>
      <c r="I120" s="669"/>
    </row>
  </sheetData>
  <mergeCells count="131">
    <mergeCell ref="A12:A15"/>
    <mergeCell ref="B12:B15"/>
    <mergeCell ref="C13:C15"/>
    <mergeCell ref="A16:A20"/>
    <mergeCell ref="B16:B20"/>
    <mergeCell ref="C17:C20"/>
    <mergeCell ref="A1:I1"/>
    <mergeCell ref="A2:I2"/>
    <mergeCell ref="B3:D3"/>
    <mergeCell ref="A4:A11"/>
    <mergeCell ref="B4:B11"/>
    <mergeCell ref="C4:C7"/>
    <mergeCell ref="C8:C11"/>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B115:D115"/>
    <mergeCell ref="B116:D116"/>
    <mergeCell ref="B117:D117"/>
    <mergeCell ref="B118:D118"/>
    <mergeCell ref="B119:D119"/>
    <mergeCell ref="A120:I120"/>
    <mergeCell ref="C102:D102"/>
    <mergeCell ref="C103:D103"/>
    <mergeCell ref="C104:D104"/>
    <mergeCell ref="C105:D105"/>
    <mergeCell ref="A106:A114"/>
    <mergeCell ref="B106:B114"/>
    <mergeCell ref="C106:D113"/>
    <mergeCell ref="C114:D114"/>
    <mergeCell ref="A94:A105"/>
    <mergeCell ref="B94:B105"/>
    <mergeCell ref="C94:D94"/>
    <mergeCell ref="C95:D95"/>
    <mergeCell ref="C96:D96"/>
    <mergeCell ref="C97:D97"/>
    <mergeCell ref="C98:D98"/>
    <mergeCell ref="C99:D99"/>
    <mergeCell ref="C100:D100"/>
    <mergeCell ref="C101:D10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9EDE-B7B4-45AF-8778-EDD2148250C1}">
  <dimension ref="A1:I109"/>
  <sheetViews>
    <sheetView workbookViewId="0">
      <selection activeCell="Q13" sqref="Q13"/>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2.7109375" style="1" bestFit="1" customWidth="1"/>
    <col min="10" max="16384" width="9.140625" style="1"/>
  </cols>
  <sheetData>
    <row r="1" spans="1:9" ht="56.25" customHeight="1">
      <c r="A1" s="803" t="s">
        <v>846</v>
      </c>
      <c r="B1" s="713"/>
      <c r="C1" s="713"/>
      <c r="D1" s="713"/>
      <c r="E1" s="713"/>
      <c r="F1" s="713"/>
      <c r="G1" s="713"/>
      <c r="H1" s="713"/>
      <c r="I1" s="713"/>
    </row>
    <row r="2" spans="1:9" ht="19.5" customHeight="1">
      <c r="A2" s="715" t="s">
        <v>450</v>
      </c>
      <c r="B2" s="715"/>
      <c r="C2" s="715"/>
      <c r="D2" s="715"/>
      <c r="E2" s="715"/>
      <c r="F2" s="715"/>
      <c r="G2" s="715"/>
      <c r="H2" s="715"/>
      <c r="I2" s="715"/>
    </row>
    <row r="3" spans="1:9" s="22" customFormat="1" ht="34.5" customHeight="1">
      <c r="A3" s="18" t="s">
        <v>48</v>
      </c>
      <c r="B3" s="716" t="s">
        <v>2</v>
      </c>
      <c r="C3" s="717"/>
      <c r="D3" s="718"/>
      <c r="E3" s="20" t="s">
        <v>49</v>
      </c>
      <c r="F3" s="18" t="s">
        <v>50</v>
      </c>
      <c r="G3" s="20" t="s">
        <v>51</v>
      </c>
      <c r="H3" s="19" t="s">
        <v>52</v>
      </c>
      <c r="I3" s="21" t="s">
        <v>53</v>
      </c>
    </row>
    <row r="4" spans="1:9" s="4" customFormat="1" ht="17.25" customHeight="1">
      <c r="A4" s="700">
        <v>1</v>
      </c>
      <c r="B4" s="554" t="s">
        <v>6</v>
      </c>
      <c r="C4" s="554" t="s">
        <v>7</v>
      </c>
      <c r="D4" s="5" t="s">
        <v>8</v>
      </c>
      <c r="E4" s="6"/>
      <c r="F4" s="6"/>
      <c r="G4" s="6"/>
      <c r="H4" s="12"/>
      <c r="I4" s="13"/>
    </row>
    <row r="5" spans="1:9" s="4" customFormat="1" ht="17.25" customHeight="1">
      <c r="A5" s="701"/>
      <c r="B5" s="555"/>
      <c r="C5" s="555"/>
      <c r="D5" s="5" t="s">
        <v>9</v>
      </c>
      <c r="E5" s="127" t="s">
        <v>451</v>
      </c>
      <c r="F5" s="6">
        <v>1</v>
      </c>
      <c r="G5" s="6">
        <v>1.5</v>
      </c>
      <c r="H5" s="12">
        <v>1.5</v>
      </c>
      <c r="I5" s="135" t="s">
        <v>452</v>
      </c>
    </row>
    <row r="6" spans="1:9" s="4" customFormat="1" ht="17.25" customHeight="1">
      <c r="A6" s="701"/>
      <c r="B6" s="555"/>
      <c r="C6" s="555"/>
      <c r="D6" s="5" t="s">
        <v>10</v>
      </c>
      <c r="E6" s="6"/>
      <c r="F6" s="6"/>
      <c r="G6" s="6"/>
      <c r="H6" s="12"/>
      <c r="I6" s="13"/>
    </row>
    <row r="7" spans="1:9" s="4" customFormat="1" ht="17.25" customHeight="1">
      <c r="A7" s="701"/>
      <c r="B7" s="555"/>
      <c r="C7" s="556"/>
      <c r="D7" s="5" t="s">
        <v>11</v>
      </c>
      <c r="E7" s="6"/>
      <c r="F7" s="6"/>
      <c r="G7" s="6"/>
      <c r="H7" s="12"/>
      <c r="I7" s="13"/>
    </row>
    <row r="8" spans="1:9" s="4" customFormat="1" ht="17.25" customHeight="1">
      <c r="A8" s="701"/>
      <c r="B8" s="555"/>
      <c r="C8" s="554" t="s">
        <v>12</v>
      </c>
      <c r="D8" s="5" t="s">
        <v>13</v>
      </c>
      <c r="E8" s="6"/>
      <c r="F8" s="6"/>
      <c r="G8" s="6"/>
      <c r="H8" s="12"/>
      <c r="I8" s="13"/>
    </row>
    <row r="9" spans="1:9" s="4" customFormat="1" ht="17.25" customHeight="1">
      <c r="A9" s="701"/>
      <c r="B9" s="555"/>
      <c r="C9" s="555"/>
      <c r="D9" s="5" t="s">
        <v>14</v>
      </c>
      <c r="E9" s="6"/>
      <c r="F9" s="6"/>
      <c r="G9" s="6"/>
      <c r="H9" s="12"/>
      <c r="I9" s="13"/>
    </row>
    <row r="10" spans="1:9" s="4" customFormat="1" ht="17.25" customHeight="1">
      <c r="A10" s="701"/>
      <c r="B10" s="555"/>
      <c r="C10" s="555"/>
      <c r="D10" s="5" t="s">
        <v>15</v>
      </c>
      <c r="E10" s="6"/>
      <c r="F10" s="6"/>
      <c r="G10" s="6"/>
      <c r="H10" s="12"/>
      <c r="I10" s="13"/>
    </row>
    <row r="11" spans="1:9" s="4" customFormat="1" ht="17.25" customHeight="1">
      <c r="A11" s="710"/>
      <c r="B11" s="556"/>
      <c r="C11" s="556"/>
      <c r="D11" s="5" t="s">
        <v>11</v>
      </c>
      <c r="E11" s="6"/>
      <c r="F11" s="6"/>
      <c r="G11" s="6"/>
      <c r="H11" s="12"/>
      <c r="I11" s="13"/>
    </row>
    <row r="12" spans="1:9" s="4" customFormat="1" ht="21.2" customHeight="1">
      <c r="A12" s="700">
        <v>2</v>
      </c>
      <c r="B12" s="554" t="s">
        <v>16</v>
      </c>
      <c r="C12" s="5" t="s">
        <v>7</v>
      </c>
      <c r="D12" s="5" t="s">
        <v>8</v>
      </c>
      <c r="E12" s="6"/>
      <c r="F12" s="6"/>
      <c r="G12" s="6"/>
      <c r="H12" s="12"/>
      <c r="I12" s="13"/>
    </row>
    <row r="13" spans="1:9" s="4" customFormat="1" ht="17.25" customHeight="1">
      <c r="A13" s="701"/>
      <c r="B13" s="555"/>
      <c r="C13" s="554" t="s">
        <v>12</v>
      </c>
      <c r="D13" s="5" t="s">
        <v>17</v>
      </c>
      <c r="E13" s="6"/>
      <c r="F13" s="6"/>
      <c r="G13" s="6"/>
      <c r="H13" s="12"/>
      <c r="I13" s="13"/>
    </row>
    <row r="14" spans="1:9" s="4" customFormat="1" ht="17.25" customHeight="1">
      <c r="A14" s="701"/>
      <c r="B14" s="555"/>
      <c r="C14" s="555"/>
      <c r="D14" s="5" t="s">
        <v>18</v>
      </c>
      <c r="E14" s="6"/>
      <c r="F14" s="6"/>
      <c r="G14" s="6"/>
      <c r="H14" s="12"/>
      <c r="I14" s="13"/>
    </row>
    <row r="15" spans="1:9" s="4" customFormat="1" ht="17.25" customHeight="1">
      <c r="A15" s="710"/>
      <c r="B15" s="556"/>
      <c r="C15" s="556"/>
      <c r="D15" s="5" t="s">
        <v>11</v>
      </c>
      <c r="E15" s="6"/>
      <c r="F15" s="6"/>
      <c r="G15" s="6"/>
      <c r="H15" s="12"/>
      <c r="I15" s="13"/>
    </row>
    <row r="16" spans="1:9" s="4" customFormat="1" ht="21.2" customHeight="1">
      <c r="A16" s="700">
        <v>3</v>
      </c>
      <c r="B16" s="554" t="s">
        <v>54</v>
      </c>
      <c r="C16" s="5" t="s">
        <v>7</v>
      </c>
      <c r="D16" s="5" t="s">
        <v>8</v>
      </c>
      <c r="E16" s="6"/>
      <c r="F16" s="6"/>
      <c r="G16" s="6"/>
      <c r="H16" s="12"/>
      <c r="I16" s="13"/>
    </row>
    <row r="17" spans="1:9" s="4" customFormat="1" ht="17.25" customHeight="1">
      <c r="A17" s="701"/>
      <c r="B17" s="555"/>
      <c r="C17" s="554" t="s">
        <v>12</v>
      </c>
      <c r="D17" s="5" t="s">
        <v>17</v>
      </c>
      <c r="E17" s="127" t="s">
        <v>453</v>
      </c>
      <c r="F17" s="6">
        <v>2</v>
      </c>
      <c r="G17" s="127" t="s">
        <v>454</v>
      </c>
      <c r="H17" s="12">
        <v>1.4</v>
      </c>
      <c r="I17" s="13"/>
    </row>
    <row r="18" spans="1:9" s="4" customFormat="1" ht="17.25" customHeight="1">
      <c r="A18" s="701"/>
      <c r="B18" s="555"/>
      <c r="C18" s="555"/>
      <c r="D18" s="5" t="s">
        <v>18</v>
      </c>
      <c r="E18" s="127" t="s">
        <v>455</v>
      </c>
      <c r="F18" s="6"/>
      <c r="G18" s="6"/>
      <c r="H18" s="12">
        <v>0.6</v>
      </c>
      <c r="I18" s="13"/>
    </row>
    <row r="19" spans="1:9" s="4" customFormat="1" ht="17.25" customHeight="1">
      <c r="A19" s="701"/>
      <c r="B19" s="555"/>
      <c r="C19" s="555"/>
      <c r="D19" s="5" t="s">
        <v>19</v>
      </c>
      <c r="E19" s="6"/>
      <c r="F19" s="6"/>
      <c r="G19" s="6"/>
      <c r="H19" s="12"/>
      <c r="I19" s="13"/>
    </row>
    <row r="20" spans="1:9" s="4" customFormat="1" ht="17.25" customHeight="1">
      <c r="A20" s="710"/>
      <c r="B20" s="556"/>
      <c r="C20" s="556"/>
      <c r="D20" s="5" t="s">
        <v>456</v>
      </c>
      <c r="E20" s="127" t="s">
        <v>457</v>
      </c>
      <c r="F20" s="6"/>
      <c r="G20" s="6"/>
      <c r="H20" s="12">
        <v>0.01</v>
      </c>
      <c r="I20" s="13"/>
    </row>
    <row r="21" spans="1:9" s="4" customFormat="1" ht="21.2" customHeight="1">
      <c r="A21" s="700">
        <v>4</v>
      </c>
      <c r="B21" s="554" t="s">
        <v>20</v>
      </c>
      <c r="C21" s="5" t="s">
        <v>7</v>
      </c>
      <c r="D21" s="5" t="s">
        <v>8</v>
      </c>
      <c r="E21" s="6"/>
      <c r="F21" s="6"/>
      <c r="G21" s="6"/>
      <c r="H21" s="12"/>
      <c r="I21" s="13"/>
    </row>
    <row r="22" spans="1:9" s="4" customFormat="1" ht="17.25" customHeight="1">
      <c r="A22" s="701"/>
      <c r="B22" s="555"/>
      <c r="C22" s="554" t="s">
        <v>12</v>
      </c>
      <c r="D22" s="5" t="s">
        <v>17</v>
      </c>
      <c r="E22" s="6"/>
      <c r="F22" s="6"/>
      <c r="G22" s="6"/>
      <c r="H22" s="12"/>
      <c r="I22" s="13"/>
    </row>
    <row r="23" spans="1:9" s="4" customFormat="1" ht="17.25" customHeight="1">
      <c r="A23" s="701"/>
      <c r="B23" s="555"/>
      <c r="C23" s="555"/>
      <c r="D23" s="5" t="s">
        <v>18</v>
      </c>
      <c r="E23" s="6"/>
      <c r="F23" s="6"/>
      <c r="G23" s="6"/>
      <c r="H23" s="12"/>
      <c r="I23" s="13"/>
    </row>
    <row r="24" spans="1:9" s="4" customFormat="1" ht="17.25" customHeight="1">
      <c r="A24" s="710"/>
      <c r="B24" s="556"/>
      <c r="C24" s="556"/>
      <c r="D24" s="5" t="s">
        <v>11</v>
      </c>
      <c r="E24" s="6"/>
      <c r="F24" s="6"/>
      <c r="G24" s="6"/>
      <c r="H24" s="12"/>
      <c r="I24" s="13"/>
    </row>
    <row r="25" spans="1:9" s="4" customFormat="1" ht="17.25" customHeight="1">
      <c r="A25" s="700">
        <v>5</v>
      </c>
      <c r="B25" s="554" t="s">
        <v>21</v>
      </c>
      <c r="C25" s="554" t="s">
        <v>7</v>
      </c>
      <c r="D25" s="5" t="s">
        <v>8</v>
      </c>
      <c r="E25" s="6"/>
      <c r="F25" s="6"/>
      <c r="G25" s="6"/>
      <c r="H25" s="12"/>
      <c r="I25" s="13"/>
    </row>
    <row r="26" spans="1:9" s="4" customFormat="1" ht="17.25" customHeight="1">
      <c r="A26" s="701"/>
      <c r="B26" s="555"/>
      <c r="C26" s="556"/>
      <c r="D26" s="5" t="s">
        <v>11</v>
      </c>
      <c r="E26" s="6"/>
      <c r="F26" s="6"/>
      <c r="G26" s="6"/>
      <c r="H26" s="12"/>
      <c r="I26" s="13"/>
    </row>
    <row r="27" spans="1:9" s="4" customFormat="1" ht="17.25" customHeight="1">
      <c r="A27" s="701"/>
      <c r="B27" s="555"/>
      <c r="C27" s="554" t="s">
        <v>12</v>
      </c>
      <c r="D27" s="5" t="s">
        <v>22</v>
      </c>
      <c r="E27" s="6"/>
      <c r="F27" s="6"/>
      <c r="G27" s="6"/>
      <c r="H27" s="12"/>
      <c r="I27" s="13"/>
    </row>
    <row r="28" spans="1:9" s="4" customFormat="1" ht="17.25" customHeight="1">
      <c r="A28" s="701"/>
      <c r="B28" s="555"/>
      <c r="C28" s="555"/>
      <c r="D28" s="5" t="s">
        <v>23</v>
      </c>
      <c r="E28" s="6"/>
      <c r="F28" s="6"/>
      <c r="G28" s="6"/>
      <c r="H28" s="12"/>
      <c r="I28" s="13"/>
    </row>
    <row r="29" spans="1:9" s="4" customFormat="1" ht="17.25" customHeight="1">
      <c r="A29" s="701"/>
      <c r="B29" s="555"/>
      <c r="C29" s="555"/>
      <c r="D29" s="5" t="s">
        <v>24</v>
      </c>
      <c r="E29" s="6"/>
      <c r="F29" s="6"/>
      <c r="G29" s="6"/>
      <c r="H29" s="12"/>
      <c r="I29" s="13"/>
    </row>
    <row r="30" spans="1:9" s="4" customFormat="1" ht="17.25" customHeight="1">
      <c r="A30" s="701"/>
      <c r="B30" s="555"/>
      <c r="C30" s="555"/>
      <c r="D30" s="5" t="s">
        <v>55</v>
      </c>
      <c r="E30" s="6"/>
      <c r="F30" s="6"/>
      <c r="G30" s="6"/>
      <c r="H30" s="12"/>
      <c r="I30" s="13"/>
    </row>
    <row r="31" spans="1:9" s="4" customFormat="1" ht="17.25" customHeight="1">
      <c r="A31" s="701"/>
      <c r="B31" s="555"/>
      <c r="C31" s="555"/>
      <c r="D31" s="5" t="s">
        <v>25</v>
      </c>
      <c r="E31" s="6"/>
      <c r="F31" s="6"/>
      <c r="G31" s="6"/>
      <c r="H31" s="12"/>
      <c r="I31" s="13"/>
    </row>
    <row r="32" spans="1:9" s="4" customFormat="1" ht="17.25" customHeight="1">
      <c r="A32" s="710"/>
      <c r="B32" s="556"/>
      <c r="C32" s="556"/>
      <c r="D32" s="5" t="s">
        <v>11</v>
      </c>
      <c r="E32" s="6"/>
      <c r="F32" s="6"/>
      <c r="G32" s="6"/>
      <c r="H32" s="12"/>
      <c r="I32" s="13"/>
    </row>
    <row r="33" spans="1:9" s="4" customFormat="1" ht="17.25" customHeight="1">
      <c r="A33" s="700">
        <v>6</v>
      </c>
      <c r="B33" s="554" t="s">
        <v>56</v>
      </c>
      <c r="C33" s="554" t="s">
        <v>7</v>
      </c>
      <c r="D33" s="5" t="s">
        <v>8</v>
      </c>
      <c r="E33" s="6"/>
      <c r="F33" s="6"/>
      <c r="G33" s="6"/>
      <c r="H33" s="12"/>
      <c r="I33" s="13"/>
    </row>
    <row r="34" spans="1:9" s="4" customFormat="1" ht="17.25" customHeight="1">
      <c r="A34" s="701"/>
      <c r="B34" s="555"/>
      <c r="C34" s="556"/>
      <c r="D34" s="5" t="s">
        <v>11</v>
      </c>
      <c r="E34" s="6"/>
      <c r="F34" s="6"/>
      <c r="G34" s="6"/>
      <c r="H34" s="12"/>
      <c r="I34" s="13"/>
    </row>
    <row r="35" spans="1:9" s="4" customFormat="1" ht="17.25" customHeight="1">
      <c r="A35" s="701"/>
      <c r="B35" s="555"/>
      <c r="C35" s="554" t="s">
        <v>12</v>
      </c>
      <c r="D35" s="5" t="s">
        <v>15</v>
      </c>
      <c r="E35" s="6"/>
      <c r="F35" s="6"/>
      <c r="G35" s="6"/>
      <c r="H35" s="12"/>
      <c r="I35" s="13"/>
    </row>
    <row r="36" spans="1:9" s="4" customFormat="1" ht="17.25" customHeight="1">
      <c r="A36" s="710"/>
      <c r="B36" s="556"/>
      <c r="C36" s="556"/>
      <c r="D36" s="5" t="s">
        <v>11</v>
      </c>
      <c r="E36" s="6"/>
      <c r="F36" s="6"/>
      <c r="G36" s="6"/>
      <c r="H36" s="12"/>
      <c r="I36" s="13"/>
    </row>
    <row r="37" spans="1:9" s="4" customFormat="1" ht="17.25" customHeight="1">
      <c r="A37" s="700">
        <v>7</v>
      </c>
      <c r="B37" s="554" t="s">
        <v>26</v>
      </c>
      <c r="C37" s="554" t="s">
        <v>7</v>
      </c>
      <c r="D37" s="5" t="s">
        <v>8</v>
      </c>
      <c r="E37" s="6"/>
      <c r="F37" s="6"/>
      <c r="G37" s="6"/>
      <c r="H37" s="12"/>
      <c r="I37" s="13"/>
    </row>
    <row r="38" spans="1:9" s="4" customFormat="1" ht="17.25" customHeight="1">
      <c r="A38" s="701"/>
      <c r="B38" s="555"/>
      <c r="C38" s="556"/>
      <c r="D38" s="5" t="s">
        <v>11</v>
      </c>
      <c r="E38" s="6"/>
      <c r="F38" s="6"/>
      <c r="G38" s="6"/>
      <c r="H38" s="12"/>
      <c r="I38" s="13"/>
    </row>
    <row r="39" spans="1:9" s="4" customFormat="1" ht="17.25" customHeight="1">
      <c r="A39" s="701"/>
      <c r="B39" s="555"/>
      <c r="C39" s="554" t="s">
        <v>12</v>
      </c>
      <c r="D39" s="5" t="s">
        <v>8</v>
      </c>
      <c r="E39" s="6"/>
      <c r="F39" s="6"/>
      <c r="G39" s="6"/>
      <c r="H39" s="12"/>
      <c r="I39" s="13"/>
    </row>
    <row r="40" spans="1:9" s="4" customFormat="1" ht="17.25" customHeight="1">
      <c r="A40" s="710"/>
      <c r="B40" s="556"/>
      <c r="C40" s="556"/>
      <c r="D40" s="5" t="s">
        <v>11</v>
      </c>
      <c r="E40" s="6"/>
      <c r="F40" s="6"/>
      <c r="G40" s="6"/>
      <c r="H40" s="12"/>
      <c r="I40" s="13"/>
    </row>
    <row r="41" spans="1:9" s="4" customFormat="1" ht="17.25" customHeight="1">
      <c r="A41" s="700">
        <v>8</v>
      </c>
      <c r="B41" s="554" t="s">
        <v>27</v>
      </c>
      <c r="C41" s="554" t="s">
        <v>7</v>
      </c>
      <c r="D41" s="5" t="s">
        <v>8</v>
      </c>
      <c r="E41" s="6"/>
      <c r="F41" s="6"/>
      <c r="G41" s="6"/>
      <c r="H41" s="12"/>
      <c r="I41" s="13"/>
    </row>
    <row r="42" spans="1:9" s="4" customFormat="1" ht="17.25" customHeight="1">
      <c r="A42" s="701"/>
      <c r="B42" s="555"/>
      <c r="C42" s="556"/>
      <c r="D42" s="5" t="s">
        <v>11</v>
      </c>
      <c r="E42" s="6"/>
      <c r="F42" s="6"/>
      <c r="G42" s="6"/>
      <c r="H42" s="12"/>
      <c r="I42" s="13"/>
    </row>
    <row r="43" spans="1:9" s="4" customFormat="1" ht="17.25" customHeight="1">
      <c r="A43" s="701"/>
      <c r="B43" s="555"/>
      <c r="C43" s="554" t="s">
        <v>12</v>
      </c>
      <c r="D43" s="5" t="s">
        <v>8</v>
      </c>
      <c r="E43" s="6"/>
      <c r="F43" s="6"/>
      <c r="G43" s="6"/>
      <c r="H43" s="12"/>
      <c r="I43" s="13"/>
    </row>
    <row r="44" spans="1:9" s="4" customFormat="1" ht="17.25" customHeight="1">
      <c r="A44" s="710"/>
      <c r="B44" s="556"/>
      <c r="C44" s="556"/>
      <c r="D44" s="5" t="s">
        <v>11</v>
      </c>
      <c r="E44" s="6"/>
      <c r="F44" s="6"/>
      <c r="G44" s="6"/>
      <c r="H44" s="12"/>
      <c r="I44" s="13"/>
    </row>
    <row r="45" spans="1:9" s="4" customFormat="1" ht="17.25" customHeight="1">
      <c r="A45" s="700">
        <v>9</v>
      </c>
      <c r="B45" s="554" t="s">
        <v>28</v>
      </c>
      <c r="C45" s="554" t="s">
        <v>7</v>
      </c>
      <c r="D45" s="5" t="s">
        <v>8</v>
      </c>
      <c r="E45" s="6"/>
      <c r="F45" s="6"/>
      <c r="G45" s="6"/>
      <c r="H45" s="12"/>
      <c r="I45" s="13"/>
    </row>
    <row r="46" spans="1:9" s="4" customFormat="1" ht="17.25" customHeight="1">
      <c r="A46" s="701"/>
      <c r="B46" s="555"/>
      <c r="C46" s="556"/>
      <c r="D46" s="5" t="s">
        <v>11</v>
      </c>
      <c r="E46" s="6"/>
      <c r="F46" s="6"/>
      <c r="G46" s="6"/>
      <c r="H46" s="12"/>
      <c r="I46" s="13"/>
    </row>
    <row r="47" spans="1:9" s="4" customFormat="1" ht="17.25" customHeight="1">
      <c r="A47" s="701"/>
      <c r="B47" s="555"/>
      <c r="C47" s="554" t="s">
        <v>12</v>
      </c>
      <c r="D47" s="5" t="s">
        <v>8</v>
      </c>
      <c r="E47" s="6"/>
      <c r="F47" s="6"/>
      <c r="G47" s="6"/>
      <c r="H47" s="12"/>
      <c r="I47" s="13"/>
    </row>
    <row r="48" spans="1:9" s="4" customFormat="1" ht="17.25" customHeight="1">
      <c r="A48" s="710"/>
      <c r="B48" s="556"/>
      <c r="C48" s="556"/>
      <c r="D48" s="5" t="s">
        <v>11</v>
      </c>
      <c r="E48" s="6"/>
      <c r="F48" s="6"/>
      <c r="G48" s="6"/>
      <c r="H48" s="12"/>
      <c r="I48" s="13"/>
    </row>
    <row r="49" spans="1:9" s="4" customFormat="1" ht="17.25" customHeight="1">
      <c r="A49" s="700">
        <v>10</v>
      </c>
      <c r="B49" s="554" t="s">
        <v>57</v>
      </c>
      <c r="C49" s="554" t="s">
        <v>7</v>
      </c>
      <c r="D49" s="11" t="s">
        <v>58</v>
      </c>
      <c r="E49" s="6"/>
      <c r="F49" s="6"/>
      <c r="G49" s="6"/>
      <c r="H49" s="12"/>
      <c r="I49" s="13"/>
    </row>
    <row r="50" spans="1:9" s="4" customFormat="1" ht="17.25" customHeight="1">
      <c r="A50" s="701"/>
      <c r="B50" s="555"/>
      <c r="C50" s="556"/>
      <c r="D50" s="7" t="s">
        <v>11</v>
      </c>
      <c r="E50" s="6"/>
      <c r="F50" s="6"/>
      <c r="G50" s="6"/>
      <c r="H50" s="12"/>
      <c r="I50" s="13"/>
    </row>
    <row r="51" spans="1:9" s="4" customFormat="1" ht="17.25" customHeight="1">
      <c r="A51" s="701"/>
      <c r="B51" s="555"/>
      <c r="C51" s="554" t="s">
        <v>12</v>
      </c>
      <c r="D51" s="11" t="s">
        <v>31</v>
      </c>
      <c r="E51" s="6"/>
      <c r="F51" s="6"/>
      <c r="G51" s="6"/>
      <c r="H51" s="12"/>
      <c r="I51" s="13"/>
    </row>
    <row r="52" spans="1:9" s="4" customFormat="1" ht="17.25" customHeight="1">
      <c r="A52" s="710"/>
      <c r="B52" s="556"/>
      <c r="C52" s="556"/>
      <c r="D52" s="7" t="s">
        <v>11</v>
      </c>
      <c r="E52" s="6"/>
      <c r="F52" s="6"/>
      <c r="G52" s="6"/>
      <c r="H52" s="12"/>
      <c r="I52" s="13"/>
    </row>
    <row r="53" spans="1:9" s="4" customFormat="1" ht="17.25" customHeight="1">
      <c r="A53" s="700">
        <v>11</v>
      </c>
      <c r="B53" s="554" t="s">
        <v>32</v>
      </c>
      <c r="C53" s="520" t="s">
        <v>7</v>
      </c>
      <c r="D53" s="509"/>
      <c r="E53" s="6"/>
      <c r="F53" s="6"/>
      <c r="G53" s="6"/>
      <c r="H53" s="12"/>
      <c r="I53" s="13"/>
    </row>
    <row r="54" spans="1:9" s="4" customFormat="1" ht="17.25" customHeight="1">
      <c r="A54" s="710"/>
      <c r="B54" s="556"/>
      <c r="C54" s="520" t="s">
        <v>12</v>
      </c>
      <c r="D54" s="509"/>
      <c r="E54" s="6"/>
      <c r="F54" s="6"/>
      <c r="G54" s="6"/>
      <c r="H54" s="12"/>
      <c r="I54" s="13"/>
    </row>
    <row r="55" spans="1:9" s="4" customFormat="1" ht="17.25" customHeight="1">
      <c r="A55" s="700">
        <v>12</v>
      </c>
      <c r="B55" s="711" t="s">
        <v>59</v>
      </c>
      <c r="C55" s="520" t="s">
        <v>7</v>
      </c>
      <c r="D55" s="509"/>
      <c r="E55" s="6"/>
      <c r="F55" s="6"/>
      <c r="G55" s="6"/>
      <c r="H55" s="12"/>
      <c r="I55" s="13"/>
    </row>
    <row r="56" spans="1:9" s="4" customFormat="1" ht="17.25" customHeight="1">
      <c r="A56" s="710"/>
      <c r="B56" s="712"/>
      <c r="C56" s="520" t="s">
        <v>12</v>
      </c>
      <c r="D56" s="509"/>
      <c r="E56" s="6"/>
      <c r="F56" s="6"/>
      <c r="G56" s="6"/>
      <c r="H56" s="12"/>
      <c r="I56" s="13"/>
    </row>
    <row r="57" spans="1:9" s="4" customFormat="1" ht="17.25" customHeight="1">
      <c r="A57" s="700">
        <v>13</v>
      </c>
      <c r="B57" s="554" t="s">
        <v>33</v>
      </c>
      <c r="C57" s="520" t="s">
        <v>7</v>
      </c>
      <c r="D57" s="509"/>
      <c r="E57" s="6"/>
      <c r="F57" s="6"/>
      <c r="G57" s="6"/>
      <c r="H57" s="12"/>
      <c r="I57" s="13"/>
    </row>
    <row r="58" spans="1:9" s="4" customFormat="1" ht="17.25" customHeight="1">
      <c r="A58" s="710"/>
      <c r="B58" s="556"/>
      <c r="C58" s="520" t="s">
        <v>12</v>
      </c>
      <c r="D58" s="509"/>
      <c r="E58" s="6"/>
      <c r="F58" s="6"/>
      <c r="G58" s="6"/>
      <c r="H58" s="12"/>
      <c r="I58" s="13"/>
    </row>
    <row r="59" spans="1:9" s="4" customFormat="1" ht="17.25" customHeight="1">
      <c r="A59" s="700">
        <v>14</v>
      </c>
      <c r="B59" s="554" t="s">
        <v>34</v>
      </c>
      <c r="C59" s="554" t="s">
        <v>7</v>
      </c>
      <c r="D59" s="5" t="s">
        <v>8</v>
      </c>
      <c r="E59" s="6"/>
      <c r="F59" s="6"/>
      <c r="G59" s="6"/>
      <c r="H59" s="12"/>
      <c r="I59" s="13"/>
    </row>
    <row r="60" spans="1:9" s="4" customFormat="1" ht="17.25" customHeight="1">
      <c r="A60" s="701"/>
      <c r="B60" s="555"/>
      <c r="C60" s="556"/>
      <c r="D60" s="5" t="s">
        <v>11</v>
      </c>
      <c r="E60" s="6"/>
      <c r="F60" s="6"/>
      <c r="G60" s="6"/>
      <c r="H60" s="12"/>
      <c r="I60" s="13"/>
    </row>
    <row r="61" spans="1:9" s="4" customFormat="1" ht="17.25" customHeight="1">
      <c r="A61" s="701"/>
      <c r="B61" s="555"/>
      <c r="C61" s="554" t="s">
        <v>12</v>
      </c>
      <c r="D61" s="5" t="s">
        <v>8</v>
      </c>
      <c r="E61" s="6"/>
      <c r="F61" s="6"/>
      <c r="G61" s="6"/>
      <c r="H61" s="12"/>
      <c r="I61" s="13"/>
    </row>
    <row r="62" spans="1:9" s="4" customFormat="1" ht="17.25" customHeight="1">
      <c r="A62" s="710"/>
      <c r="B62" s="556"/>
      <c r="C62" s="556"/>
      <c r="D62" s="5" t="s">
        <v>11</v>
      </c>
      <c r="E62" s="6"/>
      <c r="F62" s="6"/>
      <c r="G62" s="6"/>
      <c r="H62" s="12"/>
      <c r="I62" s="13"/>
    </row>
    <row r="63" spans="1:9" s="4" customFormat="1">
      <c r="A63" s="706">
        <v>15</v>
      </c>
      <c r="B63" s="554" t="s">
        <v>35</v>
      </c>
      <c r="C63" s="520" t="s">
        <v>7</v>
      </c>
      <c r="D63" s="509"/>
      <c r="E63" s="6"/>
      <c r="F63" s="6"/>
      <c r="G63" s="6"/>
      <c r="H63" s="12"/>
      <c r="I63" s="13"/>
    </row>
    <row r="64" spans="1:9" s="4" customFormat="1">
      <c r="A64" s="707"/>
      <c r="B64" s="555"/>
      <c r="C64" s="708" t="s">
        <v>12</v>
      </c>
      <c r="D64" s="709"/>
      <c r="E64" s="8"/>
      <c r="F64" s="8"/>
      <c r="G64" s="8"/>
      <c r="H64" s="14"/>
      <c r="I64" s="13"/>
    </row>
    <row r="65" spans="1:9" s="4" customFormat="1">
      <c r="A65" s="706">
        <v>16</v>
      </c>
      <c r="B65" s="554" t="s">
        <v>36</v>
      </c>
      <c r="C65" s="520" t="s">
        <v>7</v>
      </c>
      <c r="D65" s="509"/>
      <c r="E65" s="6"/>
      <c r="F65" s="6"/>
      <c r="G65" s="6"/>
      <c r="H65" s="12"/>
      <c r="I65" s="13"/>
    </row>
    <row r="66" spans="1:9" s="4" customFormat="1">
      <c r="A66" s="707"/>
      <c r="B66" s="555"/>
      <c r="C66" s="708" t="s">
        <v>12</v>
      </c>
      <c r="D66" s="709"/>
      <c r="E66" s="8"/>
      <c r="F66" s="8"/>
      <c r="G66" s="8"/>
      <c r="H66" s="14"/>
      <c r="I66" s="13"/>
    </row>
    <row r="67" spans="1:9" s="4" customFormat="1">
      <c r="A67" s="706">
        <v>17</v>
      </c>
      <c r="B67" s="554" t="s">
        <v>37</v>
      </c>
      <c r="C67" s="520" t="s">
        <v>7</v>
      </c>
      <c r="D67" s="509"/>
      <c r="E67" s="6"/>
      <c r="F67" s="6"/>
      <c r="G67" s="6"/>
      <c r="H67" s="12"/>
      <c r="I67" s="13"/>
    </row>
    <row r="68" spans="1:9" s="4" customFormat="1">
      <c r="A68" s="707"/>
      <c r="B68" s="555"/>
      <c r="C68" s="708" t="s">
        <v>12</v>
      </c>
      <c r="D68" s="709"/>
      <c r="E68" s="8"/>
      <c r="F68" s="8"/>
      <c r="G68" s="8"/>
      <c r="H68" s="14"/>
      <c r="I68" s="13"/>
    </row>
    <row r="69" spans="1:9" s="4" customFormat="1">
      <c r="A69" s="706">
        <v>18</v>
      </c>
      <c r="B69" s="554" t="s">
        <v>38</v>
      </c>
      <c r="C69" s="520" t="s">
        <v>7</v>
      </c>
      <c r="D69" s="509"/>
      <c r="E69" s="6"/>
      <c r="F69" s="6"/>
      <c r="G69" s="6"/>
      <c r="H69" s="12"/>
      <c r="I69" s="13"/>
    </row>
    <row r="70" spans="1:9" s="4" customFormat="1">
      <c r="A70" s="707"/>
      <c r="B70" s="555"/>
      <c r="C70" s="708" t="s">
        <v>12</v>
      </c>
      <c r="D70" s="709"/>
      <c r="E70" s="8"/>
      <c r="F70" s="8"/>
      <c r="G70" s="8"/>
      <c r="H70" s="14"/>
      <c r="I70" s="13"/>
    </row>
    <row r="71" spans="1:9" s="4" customFormat="1">
      <c r="A71" s="706">
        <v>19</v>
      </c>
      <c r="B71" s="554" t="s">
        <v>39</v>
      </c>
      <c r="C71" s="520" t="s">
        <v>7</v>
      </c>
      <c r="D71" s="509"/>
      <c r="E71" s="6"/>
      <c r="F71" s="6"/>
      <c r="G71" s="6"/>
      <c r="H71" s="12"/>
      <c r="I71" s="13"/>
    </row>
    <row r="72" spans="1:9" s="4" customFormat="1">
      <c r="A72" s="707"/>
      <c r="B72" s="555"/>
      <c r="C72" s="708" t="s">
        <v>12</v>
      </c>
      <c r="D72" s="709"/>
      <c r="E72" s="8"/>
      <c r="F72" s="8"/>
      <c r="G72" s="8"/>
      <c r="H72" s="14"/>
      <c r="I72" s="13"/>
    </row>
    <row r="73" spans="1:9" s="4" customFormat="1">
      <c r="A73" s="706">
        <v>20</v>
      </c>
      <c r="B73" s="554" t="s">
        <v>40</v>
      </c>
      <c r="C73" s="520" t="s">
        <v>7</v>
      </c>
      <c r="D73" s="509"/>
      <c r="E73" s="6"/>
      <c r="F73" s="6"/>
      <c r="G73" s="6"/>
      <c r="H73" s="12"/>
      <c r="I73" s="13"/>
    </row>
    <row r="74" spans="1:9" s="4" customFormat="1">
      <c r="A74" s="707"/>
      <c r="B74" s="555"/>
      <c r="C74" s="708" t="s">
        <v>12</v>
      </c>
      <c r="D74" s="709"/>
      <c r="E74" s="8"/>
      <c r="F74" s="8"/>
      <c r="G74" s="8"/>
      <c r="H74" s="14"/>
      <c r="I74" s="13"/>
    </row>
    <row r="75" spans="1:9" s="4" customFormat="1">
      <c r="A75" s="706">
        <v>21</v>
      </c>
      <c r="B75" s="554" t="s">
        <v>41</v>
      </c>
      <c r="C75" s="520" t="s">
        <v>7</v>
      </c>
      <c r="D75" s="509"/>
      <c r="E75" s="6"/>
      <c r="F75" s="6"/>
      <c r="G75" s="6"/>
      <c r="H75" s="12"/>
      <c r="I75" s="13"/>
    </row>
    <row r="76" spans="1:9" s="4" customFormat="1">
      <c r="A76" s="707"/>
      <c r="B76" s="555"/>
      <c r="C76" s="708" t="s">
        <v>12</v>
      </c>
      <c r="D76" s="709"/>
      <c r="E76" s="8"/>
      <c r="F76" s="8"/>
      <c r="G76" s="8"/>
      <c r="H76" s="14"/>
      <c r="I76" s="13"/>
    </row>
    <row r="77" spans="1:9" s="4" customFormat="1">
      <c r="A77" s="700">
        <v>22</v>
      </c>
      <c r="B77" s="554" t="s">
        <v>60</v>
      </c>
      <c r="C77" s="702" t="s">
        <v>61</v>
      </c>
      <c r="D77" s="703"/>
      <c r="E77" s="6"/>
      <c r="F77" s="6"/>
      <c r="G77" s="6"/>
      <c r="H77" s="12"/>
      <c r="I77" s="13"/>
    </row>
    <row r="78" spans="1:9" s="4" customFormat="1">
      <c r="A78" s="701"/>
      <c r="B78" s="555"/>
      <c r="C78" s="520" t="s">
        <v>62</v>
      </c>
      <c r="D78" s="509"/>
      <c r="E78" s="6"/>
      <c r="F78" s="6"/>
      <c r="G78" s="6"/>
      <c r="H78" s="12"/>
      <c r="I78" s="13"/>
    </row>
    <row r="79" spans="1:9" s="4" customFormat="1">
      <c r="A79" s="701"/>
      <c r="B79" s="555"/>
      <c r="C79" s="520" t="s">
        <v>63</v>
      </c>
      <c r="D79" s="509"/>
      <c r="E79" s="6"/>
      <c r="F79" s="6"/>
      <c r="G79" s="6"/>
      <c r="H79" s="12"/>
      <c r="I79" s="13"/>
    </row>
    <row r="80" spans="1:9" s="4" customFormat="1">
      <c r="A80" s="701"/>
      <c r="B80" s="555"/>
      <c r="C80" s="520" t="s">
        <v>64</v>
      </c>
      <c r="D80" s="509"/>
      <c r="E80" s="6"/>
      <c r="F80" s="6"/>
      <c r="G80" s="6"/>
      <c r="H80" s="12"/>
      <c r="I80" s="13"/>
    </row>
    <row r="81" spans="1:9" s="4" customFormat="1">
      <c r="A81" s="701"/>
      <c r="B81" s="555"/>
      <c r="C81" s="704" t="s">
        <v>65</v>
      </c>
      <c r="D81" s="705"/>
      <c r="E81" s="8"/>
      <c r="F81" s="8"/>
      <c r="G81" s="8"/>
      <c r="H81" s="14"/>
      <c r="I81" s="13"/>
    </row>
    <row r="82" spans="1:9" s="4" customFormat="1">
      <c r="A82" s="491">
        <v>23</v>
      </c>
      <c r="B82" s="480" t="s">
        <v>66</v>
      </c>
      <c r="C82" s="695" t="s">
        <v>67</v>
      </c>
      <c r="D82" s="696"/>
      <c r="E82" s="13"/>
      <c r="F82" s="13"/>
      <c r="G82" s="13"/>
      <c r="H82" s="23"/>
      <c r="I82" s="13"/>
    </row>
    <row r="83" spans="1:9" s="4" customFormat="1">
      <c r="A83" s="491"/>
      <c r="B83" s="480"/>
      <c r="C83" s="695" t="s">
        <v>68</v>
      </c>
      <c r="D83" s="696"/>
      <c r="E83" s="13"/>
      <c r="F83" s="13"/>
      <c r="G83" s="13"/>
      <c r="H83" s="23"/>
      <c r="I83" s="13"/>
    </row>
    <row r="84" spans="1:9" s="4" customFormat="1">
      <c r="A84" s="491"/>
      <c r="B84" s="480"/>
      <c r="C84" s="695" t="s">
        <v>69</v>
      </c>
      <c r="D84" s="696"/>
      <c r="E84" s="13"/>
      <c r="F84" s="13"/>
      <c r="G84" s="13"/>
      <c r="H84" s="23"/>
      <c r="I84" s="13"/>
    </row>
    <row r="85" spans="1:9" s="4" customFormat="1">
      <c r="A85" s="491"/>
      <c r="B85" s="480"/>
      <c r="C85" s="695" t="s">
        <v>70</v>
      </c>
      <c r="D85" s="696"/>
      <c r="E85" s="13"/>
      <c r="F85" s="13"/>
      <c r="G85" s="13"/>
      <c r="H85" s="23"/>
      <c r="I85" s="13"/>
    </row>
    <row r="86" spans="1:9" s="4" customFormat="1">
      <c r="A86" s="491"/>
      <c r="B86" s="480"/>
      <c r="C86" s="695" t="s">
        <v>71</v>
      </c>
      <c r="D86" s="696"/>
      <c r="E86" s="13"/>
      <c r="F86" s="13"/>
      <c r="G86" s="13"/>
      <c r="H86" s="23"/>
      <c r="I86" s="13"/>
    </row>
    <row r="87" spans="1:9" s="4" customFormat="1">
      <c r="A87" s="491"/>
      <c r="B87" s="480"/>
      <c r="C87" s="695" t="s">
        <v>72</v>
      </c>
      <c r="D87" s="696"/>
      <c r="E87" s="13"/>
      <c r="F87" s="13"/>
      <c r="G87" s="13"/>
      <c r="H87" s="23"/>
      <c r="I87" s="13"/>
    </row>
    <row r="88" spans="1:9" s="4" customFormat="1">
      <c r="A88" s="491"/>
      <c r="B88" s="480"/>
      <c r="C88" s="695" t="s">
        <v>73</v>
      </c>
      <c r="D88" s="696"/>
      <c r="E88" s="13"/>
      <c r="F88" s="13"/>
      <c r="G88" s="13"/>
      <c r="H88" s="23"/>
      <c r="I88" s="13"/>
    </row>
    <row r="89" spans="1:9" s="4" customFormat="1">
      <c r="A89" s="491"/>
      <c r="B89" s="480"/>
      <c r="C89" s="695" t="s">
        <v>11</v>
      </c>
      <c r="D89" s="696"/>
      <c r="E89" s="13"/>
      <c r="F89" s="13"/>
      <c r="G89" s="13"/>
      <c r="H89" s="23"/>
      <c r="I89" s="13"/>
    </row>
    <row r="90" spans="1:9" s="4" customFormat="1" ht="31.5" customHeight="1">
      <c r="A90" s="491">
        <v>24</v>
      </c>
      <c r="B90" s="480" t="s">
        <v>74</v>
      </c>
      <c r="C90" s="695" t="s">
        <v>75</v>
      </c>
      <c r="D90" s="696"/>
      <c r="E90" s="13"/>
      <c r="F90" s="13"/>
      <c r="G90" s="13"/>
      <c r="H90" s="23"/>
      <c r="I90" s="13"/>
    </row>
    <row r="91" spans="1:9" s="4" customFormat="1">
      <c r="A91" s="491"/>
      <c r="B91" s="480"/>
      <c r="C91" s="695" t="s">
        <v>76</v>
      </c>
      <c r="D91" s="696"/>
      <c r="E91" s="13"/>
      <c r="F91" s="13"/>
      <c r="G91" s="13"/>
      <c r="H91" s="23"/>
      <c r="I91" s="13"/>
    </row>
    <row r="92" spans="1:9" s="4" customFormat="1">
      <c r="A92" s="491"/>
      <c r="B92" s="480"/>
      <c r="C92" s="695" t="s">
        <v>77</v>
      </c>
      <c r="D92" s="696"/>
      <c r="E92" s="13"/>
      <c r="F92" s="13"/>
      <c r="G92" s="13"/>
      <c r="H92" s="23"/>
      <c r="I92" s="13"/>
    </row>
    <row r="93" spans="1:9" s="4" customFormat="1" ht="15.75" customHeight="1">
      <c r="A93" s="15">
        <v>25</v>
      </c>
      <c r="B93" s="695" t="s">
        <v>42</v>
      </c>
      <c r="C93" s="697"/>
      <c r="D93" s="696"/>
      <c r="E93" s="13"/>
      <c r="F93" s="13"/>
      <c r="G93" s="13"/>
      <c r="H93" s="23"/>
      <c r="I93" s="13"/>
    </row>
    <row r="94" spans="1:9" s="4" customFormat="1">
      <c r="A94" s="491">
        <v>26</v>
      </c>
      <c r="B94" s="480" t="s">
        <v>78</v>
      </c>
      <c r="C94" s="695" t="s">
        <v>79</v>
      </c>
      <c r="D94" s="696"/>
      <c r="E94" s="13"/>
      <c r="F94" s="13"/>
      <c r="G94" s="13"/>
      <c r="H94" s="23"/>
      <c r="I94" s="13"/>
    </row>
    <row r="95" spans="1:9" s="4" customFormat="1">
      <c r="A95" s="491"/>
      <c r="B95" s="480"/>
      <c r="C95" s="695" t="s">
        <v>80</v>
      </c>
      <c r="D95" s="696"/>
      <c r="E95" s="13"/>
      <c r="F95" s="13"/>
      <c r="G95" s="13"/>
      <c r="H95" s="23"/>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4" customFormat="1" ht="15.75" customHeight="1">
      <c r="A106" s="15">
        <v>27</v>
      </c>
      <c r="B106" s="695" t="s">
        <v>89</v>
      </c>
      <c r="C106" s="697"/>
      <c r="D106" s="696"/>
      <c r="E106" s="13"/>
      <c r="F106" s="13"/>
      <c r="G106" s="13"/>
      <c r="H106" s="23"/>
      <c r="I106" s="13"/>
    </row>
    <row r="107" spans="1:9" s="4" customFormat="1" ht="15.75" customHeight="1">
      <c r="A107" s="15">
        <v>28</v>
      </c>
      <c r="B107" s="695" t="s">
        <v>43</v>
      </c>
      <c r="C107" s="697"/>
      <c r="D107" s="696"/>
      <c r="E107" s="13"/>
      <c r="F107" s="13"/>
      <c r="G107" s="13"/>
      <c r="H107" s="23"/>
      <c r="I107" s="13"/>
    </row>
    <row r="108" spans="1:9">
      <c r="A108" s="16"/>
      <c r="B108" s="694" t="s">
        <v>90</v>
      </c>
      <c r="C108" s="694"/>
      <c r="D108" s="694"/>
      <c r="E108" s="24"/>
      <c r="F108" s="24"/>
      <c r="G108" s="24"/>
      <c r="H108" s="25">
        <v>3.51</v>
      </c>
      <c r="I108" s="24"/>
    </row>
    <row r="109" spans="1:9" s="17" customFormat="1" ht="42" customHeight="1">
      <c r="A109" s="667" t="s">
        <v>91</v>
      </c>
      <c r="B109" s="668"/>
      <c r="C109" s="668"/>
      <c r="D109" s="668"/>
      <c r="E109" s="668"/>
      <c r="F109" s="668"/>
      <c r="G109" s="668"/>
      <c r="H109" s="668"/>
      <c r="I109" s="669"/>
    </row>
  </sheetData>
  <mergeCells count="125">
    <mergeCell ref="A12:A15"/>
    <mergeCell ref="B12:B15"/>
    <mergeCell ref="C13:C15"/>
    <mergeCell ref="A16:A20"/>
    <mergeCell ref="B16:B20"/>
    <mergeCell ref="C17:C20"/>
    <mergeCell ref="A1:I1"/>
    <mergeCell ref="A2:I2"/>
    <mergeCell ref="B3:D3"/>
    <mergeCell ref="A4:A11"/>
    <mergeCell ref="B4:B11"/>
    <mergeCell ref="C4:C7"/>
    <mergeCell ref="C8:C11"/>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B108:D108"/>
    <mergeCell ref="A109:I109"/>
    <mergeCell ref="C102:D102"/>
    <mergeCell ref="C103:D103"/>
    <mergeCell ref="C104:D104"/>
    <mergeCell ref="C105:D105"/>
    <mergeCell ref="B106:D106"/>
    <mergeCell ref="B107:D107"/>
    <mergeCell ref="A94:A105"/>
    <mergeCell ref="B94:B105"/>
    <mergeCell ref="C94:D94"/>
    <mergeCell ref="C95:D95"/>
    <mergeCell ref="C96:D96"/>
    <mergeCell ref="C97:D97"/>
    <mergeCell ref="C98:D98"/>
    <mergeCell ref="C99:D99"/>
    <mergeCell ref="C100:D100"/>
    <mergeCell ref="C101:D10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EA07-242C-4271-8D16-19AEDEA4A13D}">
  <dimension ref="A1:I111"/>
  <sheetViews>
    <sheetView workbookViewId="0">
      <selection activeCell="H65" sqref="H65:H66"/>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2.7109375" style="1" bestFit="1" customWidth="1"/>
    <col min="10" max="16384" width="9.140625" style="1"/>
  </cols>
  <sheetData>
    <row r="1" spans="1:9" ht="56.25" customHeight="1">
      <c r="A1" s="713" t="s">
        <v>458</v>
      </c>
      <c r="B1" s="713"/>
      <c r="C1" s="713"/>
      <c r="D1" s="713"/>
      <c r="E1" s="713"/>
      <c r="F1" s="713"/>
      <c r="G1" s="713"/>
      <c r="H1" s="713"/>
      <c r="I1" s="713"/>
    </row>
    <row r="2" spans="1:9" ht="19.5" customHeight="1">
      <c r="A2" s="714" t="s">
        <v>459</v>
      </c>
      <c r="B2" s="715"/>
      <c r="C2" s="715"/>
      <c r="D2" s="715"/>
      <c r="E2" s="715"/>
      <c r="F2" s="715"/>
      <c r="G2" s="715"/>
      <c r="H2" s="715"/>
      <c r="I2" s="715"/>
    </row>
    <row r="3" spans="1:9" s="22" customFormat="1" ht="34.5" customHeight="1">
      <c r="A3" s="18" t="s">
        <v>48</v>
      </c>
      <c r="B3" s="716" t="s">
        <v>2</v>
      </c>
      <c r="C3" s="717"/>
      <c r="D3" s="718"/>
      <c r="E3" s="20" t="s">
        <v>49</v>
      </c>
      <c r="F3" s="18" t="s">
        <v>50</v>
      </c>
      <c r="G3" s="20" t="s">
        <v>51</v>
      </c>
      <c r="H3" s="19" t="s">
        <v>52</v>
      </c>
      <c r="I3" s="21" t="s">
        <v>53</v>
      </c>
    </row>
    <row r="4" spans="1:9" s="4" customFormat="1" ht="17.25" customHeight="1">
      <c r="A4" s="700">
        <v>1</v>
      </c>
      <c r="B4" s="554" t="s">
        <v>6</v>
      </c>
      <c r="C4" s="554" t="s">
        <v>7</v>
      </c>
      <c r="D4" s="5" t="s">
        <v>8</v>
      </c>
      <c r="E4" s="6"/>
      <c r="F4" s="6"/>
      <c r="G4" s="6"/>
      <c r="H4" s="12"/>
      <c r="I4" s="13"/>
    </row>
    <row r="5" spans="1:9" s="4" customFormat="1" ht="17.25" customHeight="1">
      <c r="A5" s="701"/>
      <c r="B5" s="555"/>
      <c r="C5" s="555"/>
      <c r="D5" s="5" t="s">
        <v>9</v>
      </c>
      <c r="E5" s="6"/>
      <c r="F5" s="6"/>
      <c r="G5" s="6"/>
      <c r="H5" s="12"/>
      <c r="I5" s="13"/>
    </row>
    <row r="6" spans="1:9" s="4" customFormat="1" ht="17.25" customHeight="1">
      <c r="A6" s="701"/>
      <c r="B6" s="555"/>
      <c r="C6" s="555"/>
      <c r="D6" s="5" t="s">
        <v>10</v>
      </c>
      <c r="E6" s="6"/>
      <c r="F6" s="6"/>
      <c r="G6" s="6"/>
      <c r="H6" s="12"/>
      <c r="I6" s="13"/>
    </row>
    <row r="7" spans="1:9" s="4" customFormat="1" ht="17.25" customHeight="1">
      <c r="A7" s="701"/>
      <c r="B7" s="555"/>
      <c r="C7" s="556"/>
      <c r="D7" s="5" t="s">
        <v>11</v>
      </c>
      <c r="E7" s="6"/>
      <c r="F7" s="6"/>
      <c r="G7" s="6"/>
      <c r="H7" s="12"/>
      <c r="I7" s="13"/>
    </row>
    <row r="8" spans="1:9" s="4" customFormat="1" ht="17.25" customHeight="1">
      <c r="A8" s="701"/>
      <c r="B8" s="555"/>
      <c r="C8" s="554" t="s">
        <v>12</v>
      </c>
      <c r="D8" s="5" t="s">
        <v>13</v>
      </c>
      <c r="E8" s="6"/>
      <c r="F8" s="6"/>
      <c r="G8" s="6"/>
      <c r="H8" s="12"/>
      <c r="I8" s="13"/>
    </row>
    <row r="9" spans="1:9" s="4" customFormat="1" ht="17.25" customHeight="1">
      <c r="A9" s="701"/>
      <c r="B9" s="555"/>
      <c r="C9" s="555"/>
      <c r="D9" s="5" t="s">
        <v>14</v>
      </c>
      <c r="E9" s="6"/>
      <c r="F9" s="6"/>
      <c r="G9" s="6"/>
      <c r="H9" s="12"/>
      <c r="I9" s="13"/>
    </row>
    <row r="10" spans="1:9" s="4" customFormat="1" ht="17.25" customHeight="1">
      <c r="A10" s="701"/>
      <c r="B10" s="555"/>
      <c r="C10" s="555"/>
      <c r="D10" s="5" t="s">
        <v>15</v>
      </c>
      <c r="E10" s="6"/>
      <c r="F10" s="6"/>
      <c r="G10" s="6"/>
      <c r="H10" s="12"/>
      <c r="I10" s="13"/>
    </row>
    <row r="11" spans="1:9" s="4" customFormat="1" ht="17.25" customHeight="1">
      <c r="A11" s="710"/>
      <c r="B11" s="556"/>
      <c r="C11" s="556"/>
      <c r="D11" s="5" t="s">
        <v>11</v>
      </c>
      <c r="E11" s="6"/>
      <c r="F11" s="6"/>
      <c r="G11" s="6"/>
      <c r="H11" s="12"/>
      <c r="I11" s="13"/>
    </row>
    <row r="12" spans="1:9" s="4" customFormat="1" ht="21.2" customHeight="1">
      <c r="A12" s="700">
        <v>2</v>
      </c>
      <c r="B12" s="554" t="s">
        <v>16</v>
      </c>
      <c r="C12" s="5" t="s">
        <v>7</v>
      </c>
      <c r="D12" s="5" t="s">
        <v>8</v>
      </c>
      <c r="E12" s="6"/>
      <c r="F12" s="6"/>
      <c r="G12" s="6"/>
      <c r="H12" s="12"/>
      <c r="I12" s="13"/>
    </row>
    <row r="13" spans="1:9" s="4" customFormat="1" ht="17.25" customHeight="1">
      <c r="A13" s="701"/>
      <c r="B13" s="555"/>
      <c r="C13" s="554" t="s">
        <v>12</v>
      </c>
      <c r="D13" s="5" t="s">
        <v>17</v>
      </c>
      <c r="E13" s="6"/>
      <c r="F13" s="6"/>
      <c r="G13" s="6"/>
      <c r="H13" s="12"/>
      <c r="I13" s="13"/>
    </row>
    <row r="14" spans="1:9" s="4" customFormat="1" ht="17.25" customHeight="1">
      <c r="A14" s="701"/>
      <c r="B14" s="555"/>
      <c r="C14" s="555"/>
      <c r="D14" s="5" t="s">
        <v>18</v>
      </c>
      <c r="E14" s="6"/>
      <c r="F14" s="6"/>
      <c r="G14" s="6"/>
      <c r="H14" s="12"/>
      <c r="I14" s="13"/>
    </row>
    <row r="15" spans="1:9" s="4" customFormat="1" ht="17.25" customHeight="1">
      <c r="A15" s="710"/>
      <c r="B15" s="556"/>
      <c r="C15" s="556"/>
      <c r="D15" s="5" t="s">
        <v>11</v>
      </c>
      <c r="E15" s="6"/>
      <c r="F15" s="6"/>
      <c r="G15" s="6"/>
      <c r="H15" s="12"/>
      <c r="I15" s="13"/>
    </row>
    <row r="16" spans="1:9" s="4" customFormat="1" ht="21.2" customHeight="1">
      <c r="A16" s="700">
        <v>3</v>
      </c>
      <c r="B16" s="554" t="s">
        <v>54</v>
      </c>
      <c r="C16" s="5" t="s">
        <v>7</v>
      </c>
      <c r="D16" s="5" t="s">
        <v>8</v>
      </c>
      <c r="E16" s="6"/>
      <c r="F16" s="6"/>
      <c r="G16" s="6"/>
      <c r="H16" s="12"/>
      <c r="I16" s="13"/>
    </row>
    <row r="17" spans="1:9" s="4" customFormat="1" ht="17.25" customHeight="1">
      <c r="A17" s="701"/>
      <c r="B17" s="555"/>
      <c r="C17" s="554" t="s">
        <v>12</v>
      </c>
      <c r="D17" s="5" t="s">
        <v>17</v>
      </c>
      <c r="E17" s="6"/>
      <c r="F17" s="6"/>
      <c r="G17" s="6"/>
      <c r="H17" s="12"/>
      <c r="I17" s="13"/>
    </row>
    <row r="18" spans="1:9" s="4" customFormat="1" ht="17.25" customHeight="1">
      <c r="A18" s="701"/>
      <c r="B18" s="555"/>
      <c r="C18" s="555"/>
      <c r="D18" s="5" t="s">
        <v>18</v>
      </c>
      <c r="E18" s="6"/>
      <c r="F18" s="6"/>
      <c r="G18" s="6"/>
      <c r="H18" s="12"/>
      <c r="I18" s="13"/>
    </row>
    <row r="19" spans="1:9" s="4" customFormat="1" ht="17.25" customHeight="1">
      <c r="A19" s="701"/>
      <c r="B19" s="555"/>
      <c r="C19" s="555"/>
      <c r="D19" s="5" t="s">
        <v>19</v>
      </c>
      <c r="E19" s="6"/>
      <c r="F19" s="6"/>
      <c r="G19" s="6"/>
      <c r="H19" s="12"/>
      <c r="I19" s="13"/>
    </row>
    <row r="20" spans="1:9" s="4" customFormat="1" ht="17.25" customHeight="1">
      <c r="A20" s="710"/>
      <c r="B20" s="556"/>
      <c r="C20" s="556"/>
      <c r="D20" s="5" t="s">
        <v>11</v>
      </c>
      <c r="E20" s="6"/>
      <c r="F20" s="6"/>
      <c r="G20" s="6"/>
      <c r="H20" s="12"/>
      <c r="I20" s="13"/>
    </row>
    <row r="21" spans="1:9" s="4" customFormat="1" ht="21.2" customHeight="1">
      <c r="A21" s="700">
        <v>4</v>
      </c>
      <c r="B21" s="554" t="s">
        <v>20</v>
      </c>
      <c r="C21" s="5" t="s">
        <v>7</v>
      </c>
      <c r="D21" s="5" t="s">
        <v>8</v>
      </c>
      <c r="E21" s="6"/>
      <c r="F21" s="6"/>
      <c r="G21" s="6"/>
      <c r="H21" s="12"/>
      <c r="I21" s="13"/>
    </row>
    <row r="22" spans="1:9" s="4" customFormat="1" ht="17.25" customHeight="1">
      <c r="A22" s="701"/>
      <c r="B22" s="555"/>
      <c r="C22" s="554" t="s">
        <v>12</v>
      </c>
      <c r="D22" s="5" t="s">
        <v>17</v>
      </c>
      <c r="E22" s="6"/>
      <c r="F22" s="6"/>
      <c r="G22" s="6"/>
      <c r="H22" s="12"/>
      <c r="I22" s="13"/>
    </row>
    <row r="23" spans="1:9" s="4" customFormat="1" ht="17.25" customHeight="1">
      <c r="A23" s="701"/>
      <c r="B23" s="555"/>
      <c r="C23" s="555"/>
      <c r="D23" s="5" t="s">
        <v>18</v>
      </c>
      <c r="E23" s="6"/>
      <c r="F23" s="6"/>
      <c r="G23" s="6"/>
      <c r="H23" s="12"/>
      <c r="I23" s="13"/>
    </row>
    <row r="24" spans="1:9" s="4" customFormat="1" ht="17.25" customHeight="1">
      <c r="A24" s="710"/>
      <c r="B24" s="556"/>
      <c r="C24" s="556"/>
      <c r="D24" s="5" t="s">
        <v>11</v>
      </c>
      <c r="E24" s="6"/>
      <c r="F24" s="6"/>
      <c r="G24" s="6"/>
      <c r="H24" s="12"/>
      <c r="I24" s="13"/>
    </row>
    <row r="25" spans="1:9" s="4" customFormat="1" ht="17.25" customHeight="1">
      <c r="A25" s="700">
        <v>5</v>
      </c>
      <c r="B25" s="554" t="s">
        <v>21</v>
      </c>
      <c r="C25" s="554" t="s">
        <v>7</v>
      </c>
      <c r="D25" s="5" t="s">
        <v>8</v>
      </c>
      <c r="E25" s="6"/>
      <c r="F25" s="6"/>
      <c r="G25" s="6"/>
      <c r="H25" s="12"/>
      <c r="I25" s="13"/>
    </row>
    <row r="26" spans="1:9" s="4" customFormat="1" ht="17.25" customHeight="1">
      <c r="A26" s="701"/>
      <c r="B26" s="555"/>
      <c r="C26" s="556"/>
      <c r="D26" s="5" t="s">
        <v>11</v>
      </c>
      <c r="E26" s="6"/>
      <c r="F26" s="6"/>
      <c r="G26" s="6"/>
      <c r="H26" s="12"/>
      <c r="I26" s="13"/>
    </row>
    <row r="27" spans="1:9" s="4" customFormat="1" ht="17.25" customHeight="1">
      <c r="A27" s="701"/>
      <c r="B27" s="555"/>
      <c r="C27" s="554" t="s">
        <v>12</v>
      </c>
      <c r="D27" s="5" t="s">
        <v>22</v>
      </c>
      <c r="E27" s="6"/>
      <c r="F27" s="6"/>
      <c r="G27" s="6"/>
      <c r="H27" s="12"/>
      <c r="I27" s="13"/>
    </row>
    <row r="28" spans="1:9" s="4" customFormat="1" ht="17.25" customHeight="1">
      <c r="A28" s="701"/>
      <c r="B28" s="555"/>
      <c r="C28" s="555"/>
      <c r="D28" s="5" t="s">
        <v>23</v>
      </c>
      <c r="E28" s="6"/>
      <c r="F28" s="6"/>
      <c r="G28" s="6"/>
      <c r="H28" s="12"/>
      <c r="I28" s="13"/>
    </row>
    <row r="29" spans="1:9" s="4" customFormat="1" ht="17.25" customHeight="1">
      <c r="A29" s="701"/>
      <c r="B29" s="555"/>
      <c r="C29" s="555"/>
      <c r="D29" s="5" t="s">
        <v>24</v>
      </c>
      <c r="E29" s="6"/>
      <c r="F29" s="6"/>
      <c r="G29" s="6"/>
      <c r="H29" s="12"/>
      <c r="I29" s="13"/>
    </row>
    <row r="30" spans="1:9" s="4" customFormat="1" ht="17.25" customHeight="1">
      <c r="A30" s="701"/>
      <c r="B30" s="555"/>
      <c r="C30" s="555"/>
      <c r="D30" s="5" t="s">
        <v>55</v>
      </c>
      <c r="E30" s="6"/>
      <c r="F30" s="6"/>
      <c r="G30" s="6"/>
      <c r="H30" s="12"/>
      <c r="I30" s="13"/>
    </row>
    <row r="31" spans="1:9" s="4" customFormat="1" ht="17.25" customHeight="1">
      <c r="A31" s="701"/>
      <c r="B31" s="555"/>
      <c r="C31" s="555"/>
      <c r="D31" s="5" t="s">
        <v>25</v>
      </c>
      <c r="E31" s="6"/>
      <c r="F31" s="6"/>
      <c r="G31" s="6"/>
      <c r="H31" s="12"/>
      <c r="I31" s="13"/>
    </row>
    <row r="32" spans="1:9" s="4" customFormat="1" ht="17.25" customHeight="1">
      <c r="A32" s="710"/>
      <c r="B32" s="556"/>
      <c r="C32" s="556"/>
      <c r="D32" s="5" t="s">
        <v>11</v>
      </c>
      <c r="E32" s="6"/>
      <c r="F32" s="6"/>
      <c r="G32" s="6"/>
      <c r="H32" s="12"/>
      <c r="I32" s="13"/>
    </row>
    <row r="33" spans="1:9" s="4" customFormat="1" ht="17.25" customHeight="1">
      <c r="A33" s="700">
        <v>6</v>
      </c>
      <c r="B33" s="554" t="s">
        <v>56</v>
      </c>
      <c r="C33" s="554" t="s">
        <v>7</v>
      </c>
      <c r="D33" s="5" t="s">
        <v>8</v>
      </c>
      <c r="E33" s="6"/>
      <c r="F33" s="6"/>
      <c r="G33" s="6"/>
      <c r="H33" s="12"/>
      <c r="I33" s="13"/>
    </row>
    <row r="34" spans="1:9" s="4" customFormat="1" ht="17.25" customHeight="1">
      <c r="A34" s="701"/>
      <c r="B34" s="555"/>
      <c r="C34" s="556"/>
      <c r="D34" s="5" t="s">
        <v>11</v>
      </c>
      <c r="E34" s="6"/>
      <c r="F34" s="6"/>
      <c r="G34" s="6"/>
      <c r="H34" s="12"/>
      <c r="I34" s="13"/>
    </row>
    <row r="35" spans="1:9" s="4" customFormat="1" ht="17.25" customHeight="1">
      <c r="A35" s="701"/>
      <c r="B35" s="555"/>
      <c r="C35" s="554" t="s">
        <v>12</v>
      </c>
      <c r="D35" s="5" t="s">
        <v>15</v>
      </c>
      <c r="E35" s="6"/>
      <c r="F35" s="6"/>
      <c r="G35" s="6"/>
      <c r="H35" s="12"/>
      <c r="I35" s="13"/>
    </row>
    <row r="36" spans="1:9" s="4" customFormat="1" ht="17.25" customHeight="1">
      <c r="A36" s="710"/>
      <c r="B36" s="556"/>
      <c r="C36" s="556"/>
      <c r="D36" s="5" t="s">
        <v>11</v>
      </c>
      <c r="E36" s="6"/>
      <c r="F36" s="6"/>
      <c r="G36" s="6"/>
      <c r="H36" s="12"/>
      <c r="I36" s="13"/>
    </row>
    <row r="37" spans="1:9" s="4" customFormat="1" ht="17.25" customHeight="1">
      <c r="A37" s="700">
        <v>7</v>
      </c>
      <c r="B37" s="554" t="s">
        <v>26</v>
      </c>
      <c r="C37" s="554" t="s">
        <v>7</v>
      </c>
      <c r="D37" s="5" t="s">
        <v>8</v>
      </c>
      <c r="E37" s="6"/>
      <c r="F37" s="6"/>
      <c r="G37" s="6"/>
      <c r="H37" s="12"/>
      <c r="I37" s="13"/>
    </row>
    <row r="38" spans="1:9" s="4" customFormat="1" ht="17.25" customHeight="1">
      <c r="A38" s="701"/>
      <c r="B38" s="555"/>
      <c r="C38" s="556"/>
      <c r="D38" s="5" t="s">
        <v>11</v>
      </c>
      <c r="E38" s="6"/>
      <c r="F38" s="6"/>
      <c r="G38" s="6"/>
      <c r="H38" s="12"/>
      <c r="I38" s="13"/>
    </row>
    <row r="39" spans="1:9" s="4" customFormat="1" ht="17.25" customHeight="1">
      <c r="A39" s="701"/>
      <c r="B39" s="555"/>
      <c r="C39" s="554" t="s">
        <v>12</v>
      </c>
      <c r="D39" s="5" t="s">
        <v>8</v>
      </c>
      <c r="E39" s="6"/>
      <c r="F39" s="6"/>
      <c r="G39" s="6"/>
      <c r="H39" s="12"/>
      <c r="I39" s="13"/>
    </row>
    <row r="40" spans="1:9" s="4" customFormat="1" ht="17.25" customHeight="1">
      <c r="A40" s="710"/>
      <c r="B40" s="556"/>
      <c r="C40" s="556"/>
      <c r="D40" s="5" t="s">
        <v>11</v>
      </c>
      <c r="E40" s="6"/>
      <c r="F40" s="6"/>
      <c r="G40" s="6"/>
      <c r="H40" s="12"/>
      <c r="I40" s="13"/>
    </row>
    <row r="41" spans="1:9" s="4" customFormat="1" ht="17.25" customHeight="1">
      <c r="A41" s="700">
        <v>8</v>
      </c>
      <c r="B41" s="554" t="s">
        <v>27</v>
      </c>
      <c r="C41" s="554" t="s">
        <v>7</v>
      </c>
      <c r="D41" s="5" t="s">
        <v>8</v>
      </c>
      <c r="E41" s="6"/>
      <c r="F41" s="6"/>
      <c r="G41" s="6"/>
      <c r="H41" s="12"/>
      <c r="I41" s="13"/>
    </row>
    <row r="42" spans="1:9" s="4" customFormat="1" ht="17.25" customHeight="1">
      <c r="A42" s="701"/>
      <c r="B42" s="555"/>
      <c r="C42" s="556"/>
      <c r="D42" s="5" t="s">
        <v>11</v>
      </c>
      <c r="E42" s="6"/>
      <c r="F42" s="6"/>
      <c r="G42" s="6"/>
      <c r="H42" s="12"/>
      <c r="I42" s="13"/>
    </row>
    <row r="43" spans="1:9" s="4" customFormat="1" ht="17.25" customHeight="1">
      <c r="A43" s="701"/>
      <c r="B43" s="555"/>
      <c r="C43" s="554" t="s">
        <v>12</v>
      </c>
      <c r="D43" s="5" t="s">
        <v>8</v>
      </c>
      <c r="E43" s="6"/>
      <c r="F43" s="6"/>
      <c r="G43" s="6"/>
      <c r="H43" s="12"/>
      <c r="I43" s="13"/>
    </row>
    <row r="44" spans="1:9" s="4" customFormat="1" ht="17.25" customHeight="1">
      <c r="A44" s="710"/>
      <c r="B44" s="556"/>
      <c r="C44" s="556"/>
      <c r="D44" s="5" t="s">
        <v>11</v>
      </c>
      <c r="E44" s="6"/>
      <c r="F44" s="6"/>
      <c r="G44" s="6"/>
      <c r="H44" s="12"/>
      <c r="I44" s="13"/>
    </row>
    <row r="45" spans="1:9" s="4" customFormat="1" ht="17.25" customHeight="1">
      <c r="A45" s="700">
        <v>9</v>
      </c>
      <c r="B45" s="554" t="s">
        <v>28</v>
      </c>
      <c r="C45" s="554" t="s">
        <v>7</v>
      </c>
      <c r="D45" s="5" t="s">
        <v>8</v>
      </c>
      <c r="E45" s="6"/>
      <c r="F45" s="6"/>
      <c r="G45" s="6"/>
      <c r="H45" s="12"/>
      <c r="I45" s="13"/>
    </row>
    <row r="46" spans="1:9" s="4" customFormat="1" ht="17.25" customHeight="1">
      <c r="A46" s="701"/>
      <c r="B46" s="555"/>
      <c r="C46" s="556"/>
      <c r="D46" s="5" t="s">
        <v>11</v>
      </c>
      <c r="E46" s="6"/>
      <c r="F46" s="6"/>
      <c r="G46" s="6"/>
      <c r="H46" s="12"/>
      <c r="I46" s="13"/>
    </row>
    <row r="47" spans="1:9" s="4" customFormat="1" ht="17.25" customHeight="1">
      <c r="A47" s="701"/>
      <c r="B47" s="555"/>
      <c r="C47" s="554" t="s">
        <v>12</v>
      </c>
      <c r="D47" s="5" t="s">
        <v>8</v>
      </c>
      <c r="E47" s="6"/>
      <c r="F47" s="6"/>
      <c r="G47" s="6"/>
      <c r="H47" s="12"/>
      <c r="I47" s="13"/>
    </row>
    <row r="48" spans="1:9" s="4" customFormat="1" ht="17.25" customHeight="1">
      <c r="A48" s="710"/>
      <c r="B48" s="556"/>
      <c r="C48" s="556"/>
      <c r="D48" s="5" t="s">
        <v>11</v>
      </c>
      <c r="E48" s="6"/>
      <c r="F48" s="6"/>
      <c r="G48" s="6"/>
      <c r="H48" s="12"/>
      <c r="I48" s="13"/>
    </row>
    <row r="49" spans="1:9" s="4" customFormat="1" ht="17.25" customHeight="1">
      <c r="A49" s="700">
        <v>10</v>
      </c>
      <c r="B49" s="554" t="s">
        <v>57</v>
      </c>
      <c r="C49" s="554" t="s">
        <v>7</v>
      </c>
      <c r="D49" s="11" t="s">
        <v>58</v>
      </c>
      <c r="E49" s="6"/>
      <c r="F49" s="6"/>
      <c r="G49" s="6"/>
      <c r="H49" s="12"/>
      <c r="I49" s="13"/>
    </row>
    <row r="50" spans="1:9" s="4" customFormat="1" ht="17.25" customHeight="1">
      <c r="A50" s="701"/>
      <c r="B50" s="555"/>
      <c r="C50" s="556"/>
      <c r="D50" s="7" t="s">
        <v>11</v>
      </c>
      <c r="E50" s="6"/>
      <c r="F50" s="6"/>
      <c r="G50" s="6"/>
      <c r="H50" s="12"/>
      <c r="I50" s="13"/>
    </row>
    <row r="51" spans="1:9" s="4" customFormat="1" ht="17.25" customHeight="1">
      <c r="A51" s="701"/>
      <c r="B51" s="555"/>
      <c r="C51" s="554" t="s">
        <v>12</v>
      </c>
      <c r="D51" s="11" t="s">
        <v>31</v>
      </c>
      <c r="E51" s="6"/>
      <c r="F51" s="6"/>
      <c r="G51" s="6"/>
      <c r="H51" s="12"/>
      <c r="I51" s="13"/>
    </row>
    <row r="52" spans="1:9" s="4" customFormat="1" ht="17.25" customHeight="1">
      <c r="A52" s="710"/>
      <c r="B52" s="556"/>
      <c r="C52" s="556"/>
      <c r="D52" s="7" t="s">
        <v>11</v>
      </c>
      <c r="E52" s="6"/>
      <c r="F52" s="6"/>
      <c r="G52" s="6"/>
      <c r="H52" s="12"/>
      <c r="I52" s="13"/>
    </row>
    <row r="53" spans="1:9" s="4" customFormat="1" ht="17.25" customHeight="1">
      <c r="A53" s="700">
        <v>11</v>
      </c>
      <c r="B53" s="554" t="s">
        <v>32</v>
      </c>
      <c r="C53" s="520" t="s">
        <v>7</v>
      </c>
      <c r="D53" s="509"/>
      <c r="E53" s="6"/>
      <c r="F53" s="6"/>
      <c r="G53" s="6"/>
      <c r="H53" s="12"/>
      <c r="I53" s="13"/>
    </row>
    <row r="54" spans="1:9" s="4" customFormat="1" ht="17.25" customHeight="1">
      <c r="A54" s="710"/>
      <c r="B54" s="556"/>
      <c r="C54" s="520" t="s">
        <v>12</v>
      </c>
      <c r="D54" s="509"/>
      <c r="E54" s="6"/>
      <c r="F54" s="6"/>
      <c r="G54" s="6"/>
      <c r="H54" s="12"/>
      <c r="I54" s="13"/>
    </row>
    <row r="55" spans="1:9" s="4" customFormat="1" ht="17.25" customHeight="1">
      <c r="A55" s="700">
        <v>12</v>
      </c>
      <c r="B55" s="711" t="s">
        <v>59</v>
      </c>
      <c r="C55" s="520" t="s">
        <v>7</v>
      </c>
      <c r="D55" s="509"/>
      <c r="E55" s="6"/>
      <c r="F55" s="6"/>
      <c r="G55" s="6"/>
      <c r="H55" s="12"/>
      <c r="I55" s="13"/>
    </row>
    <row r="56" spans="1:9" s="4" customFormat="1" ht="17.25" customHeight="1">
      <c r="A56" s="710"/>
      <c r="B56" s="712"/>
      <c r="C56" s="520" t="s">
        <v>12</v>
      </c>
      <c r="D56" s="509"/>
      <c r="E56" s="6"/>
      <c r="F56" s="6"/>
      <c r="G56" s="6"/>
      <c r="H56" s="12"/>
      <c r="I56" s="13"/>
    </row>
    <row r="57" spans="1:9" s="4" customFormat="1" ht="17.25" customHeight="1">
      <c r="A57" s="700">
        <v>13</v>
      </c>
      <c r="B57" s="554" t="s">
        <v>33</v>
      </c>
      <c r="C57" s="520" t="s">
        <v>7</v>
      </c>
      <c r="D57" s="509"/>
      <c r="E57" s="6"/>
      <c r="F57" s="6"/>
      <c r="G57" s="6"/>
      <c r="H57" s="12"/>
      <c r="I57" s="13"/>
    </row>
    <row r="58" spans="1:9" s="4" customFormat="1" ht="17.25" customHeight="1">
      <c r="A58" s="710"/>
      <c r="B58" s="556"/>
      <c r="C58" s="520" t="s">
        <v>12</v>
      </c>
      <c r="D58" s="509"/>
      <c r="E58" s="6"/>
      <c r="F58" s="6"/>
      <c r="G58" s="6"/>
      <c r="H58" s="12"/>
      <c r="I58" s="13"/>
    </row>
    <row r="59" spans="1:9" s="4" customFormat="1" ht="17.25" customHeight="1">
      <c r="A59" s="700">
        <v>14</v>
      </c>
      <c r="B59" s="554" t="s">
        <v>34</v>
      </c>
      <c r="C59" s="554" t="s">
        <v>7</v>
      </c>
      <c r="D59" s="5" t="s">
        <v>8</v>
      </c>
      <c r="E59" s="6"/>
      <c r="F59" s="6"/>
      <c r="G59" s="6"/>
      <c r="H59" s="12"/>
      <c r="I59" s="13"/>
    </row>
    <row r="60" spans="1:9" s="4" customFormat="1" ht="17.25" customHeight="1">
      <c r="A60" s="701"/>
      <c r="B60" s="555"/>
      <c r="C60" s="556"/>
      <c r="D60" s="5" t="s">
        <v>11</v>
      </c>
      <c r="E60" s="6"/>
      <c r="F60" s="6"/>
      <c r="G60" s="6"/>
      <c r="H60" s="12"/>
      <c r="I60" s="13"/>
    </row>
    <row r="61" spans="1:9" s="4" customFormat="1" ht="17.25" customHeight="1">
      <c r="A61" s="701"/>
      <c r="B61" s="555"/>
      <c r="C61" s="554" t="s">
        <v>12</v>
      </c>
      <c r="D61" s="5" t="s">
        <v>8</v>
      </c>
      <c r="E61" s="6"/>
      <c r="F61" s="6"/>
      <c r="G61" s="6"/>
      <c r="H61" s="12"/>
      <c r="I61" s="13"/>
    </row>
    <row r="62" spans="1:9" s="4" customFormat="1" ht="17.25" customHeight="1">
      <c r="A62" s="710"/>
      <c r="B62" s="556"/>
      <c r="C62" s="556"/>
      <c r="D62" s="5" t="s">
        <v>11</v>
      </c>
      <c r="E62" s="6"/>
      <c r="F62" s="6"/>
      <c r="G62" s="6"/>
      <c r="H62" s="12"/>
      <c r="I62" s="13"/>
    </row>
    <row r="63" spans="1:9" s="4" customFormat="1">
      <c r="A63" s="706">
        <v>15</v>
      </c>
      <c r="B63" s="554" t="s">
        <v>35</v>
      </c>
      <c r="C63" s="520" t="s">
        <v>7</v>
      </c>
      <c r="D63" s="509"/>
      <c r="E63" s="6"/>
      <c r="F63" s="6"/>
      <c r="G63" s="6"/>
      <c r="H63" s="12"/>
      <c r="I63" s="13"/>
    </row>
    <row r="64" spans="1:9" s="4" customFormat="1">
      <c r="A64" s="707"/>
      <c r="B64" s="555"/>
      <c r="C64" s="708" t="s">
        <v>12</v>
      </c>
      <c r="D64" s="709"/>
      <c r="E64" s="8"/>
      <c r="F64" s="8"/>
      <c r="G64" s="8"/>
      <c r="H64" s="14"/>
      <c r="I64" s="13"/>
    </row>
    <row r="65" spans="1:9" s="4" customFormat="1" ht="38.25">
      <c r="A65" s="706">
        <v>16</v>
      </c>
      <c r="B65" s="554" t="s">
        <v>36</v>
      </c>
      <c r="C65" s="520" t="s">
        <v>7</v>
      </c>
      <c r="D65" s="509"/>
      <c r="E65" s="127" t="s">
        <v>460</v>
      </c>
      <c r="F65" s="6"/>
      <c r="G65" s="6"/>
      <c r="H65" s="12">
        <v>20</v>
      </c>
      <c r="I65" s="136" t="s">
        <v>461</v>
      </c>
    </row>
    <row r="66" spans="1:9" s="4" customFormat="1" ht="38.25">
      <c r="A66" s="707"/>
      <c r="B66" s="555"/>
      <c r="C66" s="708" t="s">
        <v>12</v>
      </c>
      <c r="D66" s="709"/>
      <c r="E66" s="127" t="s">
        <v>462</v>
      </c>
      <c r="F66" s="8"/>
      <c r="G66" s="8"/>
      <c r="H66" s="14">
        <v>50</v>
      </c>
      <c r="I66" s="136" t="s">
        <v>463</v>
      </c>
    </row>
    <row r="67" spans="1:9" s="4" customFormat="1">
      <c r="A67" s="706">
        <v>17</v>
      </c>
      <c r="B67" s="554" t="s">
        <v>37</v>
      </c>
      <c r="C67" s="520" t="s">
        <v>7</v>
      </c>
      <c r="D67" s="509"/>
      <c r="E67" s="6"/>
      <c r="F67" s="6"/>
      <c r="G67" s="6"/>
      <c r="H67" s="12"/>
      <c r="I67" s="13"/>
    </row>
    <row r="68" spans="1:9" s="4" customFormat="1">
      <c r="A68" s="707"/>
      <c r="B68" s="555"/>
      <c r="C68" s="708" t="s">
        <v>12</v>
      </c>
      <c r="D68" s="709"/>
      <c r="E68" s="8"/>
      <c r="F68" s="8"/>
      <c r="G68" s="8"/>
      <c r="H68" s="14"/>
      <c r="I68" s="13"/>
    </row>
    <row r="69" spans="1:9" s="4" customFormat="1">
      <c r="A69" s="706">
        <v>18</v>
      </c>
      <c r="B69" s="554" t="s">
        <v>38</v>
      </c>
      <c r="C69" s="520" t="s">
        <v>7</v>
      </c>
      <c r="D69" s="509"/>
      <c r="E69" s="6"/>
      <c r="F69" s="6"/>
      <c r="G69" s="6"/>
      <c r="H69" s="12"/>
      <c r="I69" s="13"/>
    </row>
    <row r="70" spans="1:9" s="4" customFormat="1">
      <c r="A70" s="707"/>
      <c r="B70" s="555"/>
      <c r="C70" s="708" t="s">
        <v>12</v>
      </c>
      <c r="D70" s="709"/>
      <c r="E70" s="8"/>
      <c r="F70" s="8"/>
      <c r="G70" s="8"/>
      <c r="H70" s="14"/>
      <c r="I70" s="13"/>
    </row>
    <row r="71" spans="1:9" s="4" customFormat="1">
      <c r="A71" s="706">
        <v>19</v>
      </c>
      <c r="B71" s="554" t="s">
        <v>39</v>
      </c>
      <c r="C71" s="520" t="s">
        <v>7</v>
      </c>
      <c r="D71" s="509"/>
      <c r="E71" s="6"/>
      <c r="F71" s="6"/>
      <c r="G71" s="6"/>
      <c r="H71" s="12"/>
      <c r="I71" s="13"/>
    </row>
    <row r="72" spans="1:9" s="4" customFormat="1">
      <c r="A72" s="707"/>
      <c r="B72" s="555"/>
      <c r="C72" s="708" t="s">
        <v>12</v>
      </c>
      <c r="D72" s="709"/>
      <c r="E72" s="8"/>
      <c r="F72" s="8"/>
      <c r="G72" s="8"/>
      <c r="H72" s="14"/>
      <c r="I72" s="13"/>
    </row>
    <row r="73" spans="1:9" s="4" customFormat="1">
      <c r="A73" s="706">
        <v>20</v>
      </c>
      <c r="B73" s="554" t="s">
        <v>40</v>
      </c>
      <c r="C73" s="520" t="s">
        <v>7</v>
      </c>
      <c r="D73" s="509"/>
      <c r="E73" s="6"/>
      <c r="F73" s="6"/>
      <c r="G73" s="6"/>
      <c r="H73" s="12"/>
      <c r="I73" s="13"/>
    </row>
    <row r="74" spans="1:9" s="4" customFormat="1">
      <c r="A74" s="707"/>
      <c r="B74" s="555"/>
      <c r="C74" s="708" t="s">
        <v>12</v>
      </c>
      <c r="D74" s="709"/>
      <c r="E74" s="8"/>
      <c r="F74" s="8"/>
      <c r="G74" s="8"/>
      <c r="H74" s="14"/>
      <c r="I74" s="13"/>
    </row>
    <row r="75" spans="1:9" s="4" customFormat="1">
      <c r="A75" s="706">
        <v>21</v>
      </c>
      <c r="B75" s="554" t="s">
        <v>41</v>
      </c>
      <c r="C75" s="520" t="s">
        <v>7</v>
      </c>
      <c r="D75" s="509"/>
      <c r="E75" s="6"/>
      <c r="F75" s="6"/>
      <c r="G75" s="6"/>
      <c r="H75" s="12"/>
      <c r="I75" s="13"/>
    </row>
    <row r="76" spans="1:9" s="4" customFormat="1">
      <c r="A76" s="707"/>
      <c r="B76" s="555"/>
      <c r="C76" s="708" t="s">
        <v>12</v>
      </c>
      <c r="D76" s="709"/>
      <c r="E76" s="8"/>
      <c r="F76" s="8"/>
      <c r="G76" s="8"/>
      <c r="H76" s="14"/>
      <c r="I76" s="13"/>
    </row>
    <row r="77" spans="1:9" s="4" customFormat="1">
      <c r="A77" s="700">
        <v>22</v>
      </c>
      <c r="B77" s="554" t="s">
        <v>60</v>
      </c>
      <c r="C77" s="702" t="s">
        <v>61</v>
      </c>
      <c r="D77" s="703"/>
      <c r="E77" s="6"/>
      <c r="F77" s="6"/>
      <c r="G77" s="6"/>
      <c r="H77" s="12"/>
      <c r="I77" s="13"/>
    </row>
    <row r="78" spans="1:9" s="4" customFormat="1">
      <c r="A78" s="701"/>
      <c r="B78" s="555"/>
      <c r="C78" s="520" t="s">
        <v>62</v>
      </c>
      <c r="D78" s="509"/>
      <c r="E78" s="6"/>
      <c r="F78" s="6"/>
      <c r="G78" s="6"/>
      <c r="H78" s="12"/>
      <c r="I78" s="13"/>
    </row>
    <row r="79" spans="1:9" s="4" customFormat="1">
      <c r="A79" s="701"/>
      <c r="B79" s="555"/>
      <c r="C79" s="520" t="s">
        <v>63</v>
      </c>
      <c r="D79" s="509"/>
      <c r="E79" s="6"/>
      <c r="F79" s="6"/>
      <c r="G79" s="6"/>
      <c r="H79" s="12"/>
      <c r="I79" s="13"/>
    </row>
    <row r="80" spans="1:9" s="4" customFormat="1">
      <c r="A80" s="701"/>
      <c r="B80" s="555"/>
      <c r="C80" s="520" t="s">
        <v>64</v>
      </c>
      <c r="D80" s="509"/>
      <c r="E80" s="6"/>
      <c r="F80" s="6"/>
      <c r="G80" s="6"/>
      <c r="H80" s="12"/>
      <c r="I80" s="13"/>
    </row>
    <row r="81" spans="1:9" s="4" customFormat="1">
      <c r="A81" s="701"/>
      <c r="B81" s="555"/>
      <c r="C81" s="704" t="s">
        <v>65</v>
      </c>
      <c r="D81" s="705"/>
      <c r="E81" s="8"/>
      <c r="F81" s="8"/>
      <c r="G81" s="8"/>
      <c r="H81" s="14"/>
      <c r="I81" s="13"/>
    </row>
    <row r="82" spans="1:9" s="4" customFormat="1">
      <c r="A82" s="491">
        <v>23</v>
      </c>
      <c r="B82" s="480" t="s">
        <v>66</v>
      </c>
      <c r="C82" s="695" t="s">
        <v>67</v>
      </c>
      <c r="D82" s="696"/>
      <c r="E82" s="13"/>
      <c r="F82" s="13"/>
      <c r="G82" s="13"/>
      <c r="H82" s="23"/>
      <c r="I82" s="13"/>
    </row>
    <row r="83" spans="1:9" s="4" customFormat="1">
      <c r="A83" s="491"/>
      <c r="B83" s="480"/>
      <c r="C83" s="695" t="s">
        <v>68</v>
      </c>
      <c r="D83" s="696"/>
      <c r="E83" s="13"/>
      <c r="F83" s="13"/>
      <c r="G83" s="13"/>
      <c r="H83" s="23"/>
      <c r="I83" s="13"/>
    </row>
    <row r="84" spans="1:9" s="4" customFormat="1">
      <c r="A84" s="491"/>
      <c r="B84" s="480"/>
      <c r="C84" s="695" t="s">
        <v>69</v>
      </c>
      <c r="D84" s="696"/>
      <c r="E84" s="13"/>
      <c r="F84" s="13"/>
      <c r="G84" s="13"/>
      <c r="H84" s="23"/>
      <c r="I84" s="13"/>
    </row>
    <row r="85" spans="1:9" s="4" customFormat="1">
      <c r="A85" s="491"/>
      <c r="B85" s="480"/>
      <c r="C85" s="695" t="s">
        <v>70</v>
      </c>
      <c r="D85" s="696"/>
      <c r="E85" s="13"/>
      <c r="F85" s="13"/>
      <c r="G85" s="13"/>
      <c r="H85" s="23"/>
      <c r="I85" s="13"/>
    </row>
    <row r="86" spans="1:9" s="4" customFormat="1">
      <c r="A86" s="491"/>
      <c r="B86" s="480"/>
      <c r="C86" s="695" t="s">
        <v>71</v>
      </c>
      <c r="D86" s="696"/>
      <c r="E86" s="13"/>
      <c r="F86" s="13"/>
      <c r="G86" s="13"/>
      <c r="H86" s="23"/>
      <c r="I86" s="13"/>
    </row>
    <row r="87" spans="1:9" s="4" customFormat="1">
      <c r="A87" s="491"/>
      <c r="B87" s="480"/>
      <c r="C87" s="695" t="s">
        <v>72</v>
      </c>
      <c r="D87" s="696"/>
      <c r="E87" s="13"/>
      <c r="F87" s="13"/>
      <c r="G87" s="13"/>
      <c r="H87" s="23"/>
      <c r="I87" s="13"/>
    </row>
    <row r="88" spans="1:9" s="4" customFormat="1">
      <c r="A88" s="491"/>
      <c r="B88" s="480"/>
      <c r="C88" s="695" t="s">
        <v>73</v>
      </c>
      <c r="D88" s="696"/>
      <c r="E88" s="13"/>
      <c r="F88" s="13"/>
      <c r="G88" s="13"/>
      <c r="H88" s="23"/>
      <c r="I88" s="13"/>
    </row>
    <row r="89" spans="1:9" s="4" customFormat="1">
      <c r="A89" s="491"/>
      <c r="B89" s="480"/>
      <c r="C89" s="695" t="s">
        <v>11</v>
      </c>
      <c r="D89" s="696"/>
      <c r="E89" s="13"/>
      <c r="F89" s="13"/>
      <c r="G89" s="13"/>
      <c r="H89" s="23"/>
      <c r="I89" s="13"/>
    </row>
    <row r="90" spans="1:9" s="4" customFormat="1" ht="31.5" customHeight="1">
      <c r="A90" s="491">
        <v>24</v>
      </c>
      <c r="B90" s="480" t="s">
        <v>74</v>
      </c>
      <c r="C90" s="695" t="s">
        <v>75</v>
      </c>
      <c r="D90" s="696"/>
      <c r="E90" s="13"/>
      <c r="F90" s="13"/>
      <c r="G90" s="13"/>
      <c r="H90" s="23"/>
      <c r="I90" s="13"/>
    </row>
    <row r="91" spans="1:9" s="4" customFormat="1">
      <c r="A91" s="491"/>
      <c r="B91" s="480"/>
      <c r="C91" s="695" t="s">
        <v>76</v>
      </c>
      <c r="D91" s="696"/>
      <c r="E91" s="13"/>
      <c r="F91" s="13"/>
      <c r="G91" s="13"/>
      <c r="H91" s="23"/>
      <c r="I91" s="13"/>
    </row>
    <row r="92" spans="1:9" s="4" customFormat="1">
      <c r="A92" s="491"/>
      <c r="B92" s="480"/>
      <c r="C92" s="695" t="s">
        <v>77</v>
      </c>
      <c r="D92" s="696"/>
      <c r="E92" s="13"/>
      <c r="F92" s="13"/>
      <c r="G92" s="13"/>
      <c r="H92" s="23"/>
      <c r="I92" s="13"/>
    </row>
    <row r="93" spans="1:9" s="4" customFormat="1" ht="15.75" customHeight="1">
      <c r="A93" s="15">
        <v>25</v>
      </c>
      <c r="B93" s="695" t="s">
        <v>42</v>
      </c>
      <c r="C93" s="697"/>
      <c r="D93" s="696"/>
      <c r="E93" s="13"/>
      <c r="F93" s="13"/>
      <c r="G93" s="13"/>
      <c r="H93" s="23"/>
      <c r="I93" s="13"/>
    </row>
    <row r="94" spans="1:9" s="4" customFormat="1">
      <c r="A94" s="491">
        <v>26</v>
      </c>
      <c r="B94" s="480" t="s">
        <v>78</v>
      </c>
      <c r="C94" s="695" t="s">
        <v>79</v>
      </c>
      <c r="D94" s="696"/>
      <c r="E94" s="13"/>
      <c r="F94" s="13"/>
      <c r="G94" s="13"/>
      <c r="H94" s="23"/>
      <c r="I94" s="13"/>
    </row>
    <row r="95" spans="1:9" s="4" customFormat="1">
      <c r="A95" s="491"/>
      <c r="B95" s="480"/>
      <c r="C95" s="695" t="s">
        <v>80</v>
      </c>
      <c r="D95" s="696"/>
      <c r="E95" s="13"/>
      <c r="F95" s="13"/>
      <c r="G95" s="13"/>
      <c r="H95" s="23"/>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4" customFormat="1" ht="15.75" customHeight="1">
      <c r="A106" s="15">
        <v>27</v>
      </c>
      <c r="B106" s="695" t="s">
        <v>89</v>
      </c>
      <c r="C106" s="697"/>
      <c r="D106" s="696"/>
      <c r="E106" s="13"/>
      <c r="F106" s="13"/>
      <c r="G106" s="13"/>
      <c r="H106" s="23"/>
      <c r="I106" s="13"/>
    </row>
    <row r="107" spans="1:9" s="4" customFormat="1" ht="15.75" customHeight="1">
      <c r="A107" s="15">
        <v>28</v>
      </c>
      <c r="B107" s="695" t="s">
        <v>43</v>
      </c>
      <c r="C107" s="697"/>
      <c r="D107" s="696"/>
      <c r="E107" s="13"/>
      <c r="F107" s="13"/>
      <c r="G107" s="13"/>
      <c r="H107" s="23"/>
      <c r="I107" s="13"/>
    </row>
    <row r="108" spans="1:9" s="4" customFormat="1" ht="15.75" customHeight="1">
      <c r="A108" s="15">
        <v>29</v>
      </c>
      <c r="B108" s="480" t="s">
        <v>44</v>
      </c>
      <c r="C108" s="480"/>
      <c r="D108" s="480"/>
      <c r="E108" s="13"/>
      <c r="F108" s="13"/>
      <c r="G108" s="13"/>
      <c r="H108" s="23"/>
      <c r="I108" s="13"/>
    </row>
    <row r="109" spans="1:9" s="4" customFormat="1" ht="15.75" customHeight="1">
      <c r="A109" s="15">
        <v>30</v>
      </c>
      <c r="B109" s="480" t="s">
        <v>45</v>
      </c>
      <c r="C109" s="480"/>
      <c r="D109" s="480"/>
      <c r="E109" s="13"/>
      <c r="F109" s="13"/>
      <c r="G109" s="13"/>
      <c r="H109" s="23"/>
      <c r="I109" s="13"/>
    </row>
    <row r="110" spans="1:9">
      <c r="A110" s="16"/>
      <c r="B110" s="694" t="s">
        <v>90</v>
      </c>
      <c r="C110" s="694"/>
      <c r="D110" s="694"/>
      <c r="E110" s="24"/>
      <c r="F110" s="24"/>
      <c r="G110" s="24"/>
      <c r="H110" s="25"/>
      <c r="I110" s="24"/>
    </row>
    <row r="111" spans="1:9" s="17" customFormat="1" ht="42" customHeight="1">
      <c r="A111" s="667" t="s">
        <v>91</v>
      </c>
      <c r="B111" s="668"/>
      <c r="C111" s="668"/>
      <c r="D111" s="668"/>
      <c r="E111" s="668"/>
      <c r="F111" s="668"/>
      <c r="G111" s="668"/>
      <c r="H111" s="668"/>
      <c r="I111" s="669"/>
    </row>
  </sheetData>
  <mergeCells count="127">
    <mergeCell ref="A12:A15"/>
    <mergeCell ref="B12:B15"/>
    <mergeCell ref="C13:C15"/>
    <mergeCell ref="A16:A20"/>
    <mergeCell ref="B16:B20"/>
    <mergeCell ref="C17:C20"/>
    <mergeCell ref="A1:I1"/>
    <mergeCell ref="A2:I2"/>
    <mergeCell ref="B3:D3"/>
    <mergeCell ref="A4:A11"/>
    <mergeCell ref="B4:B11"/>
    <mergeCell ref="C4:C7"/>
    <mergeCell ref="C8:C11"/>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B108:D108"/>
    <mergeCell ref="B109:D109"/>
    <mergeCell ref="B110:D110"/>
    <mergeCell ref="A111:I111"/>
    <mergeCell ref="C102:D102"/>
    <mergeCell ref="C103:D103"/>
    <mergeCell ref="C104:D104"/>
    <mergeCell ref="C105:D105"/>
    <mergeCell ref="B106:D106"/>
    <mergeCell ref="B107:D107"/>
    <mergeCell ref="A94:A105"/>
    <mergeCell ref="B94:B105"/>
    <mergeCell ref="C94:D94"/>
    <mergeCell ref="C95:D95"/>
    <mergeCell ref="C96:D96"/>
    <mergeCell ref="C97:D97"/>
    <mergeCell ref="C98:D98"/>
    <mergeCell ref="C99:D99"/>
    <mergeCell ref="C100:D100"/>
    <mergeCell ref="C101:D10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9B28-8FE0-4142-954D-A98B4A4FE724}">
  <dimension ref="A1:I149"/>
  <sheetViews>
    <sheetView workbookViewId="0">
      <selection activeCell="P129" sqref="P129"/>
    </sheetView>
  </sheetViews>
  <sheetFormatPr defaultColWidth="7.7109375" defaultRowHeight="15.75"/>
  <cols>
    <col min="1" max="1" width="5.140625" style="163" customWidth="1"/>
    <col min="2" max="2" width="24.7109375" style="1" customWidth="1"/>
    <col min="3" max="3" width="20.140625" style="1" customWidth="1"/>
    <col min="4" max="4" width="26.28515625" style="1" customWidth="1"/>
    <col min="5" max="5" width="23.42578125" style="1" customWidth="1"/>
    <col min="6" max="6" width="13.7109375" style="1" customWidth="1"/>
    <col min="7" max="7" width="16.7109375" style="1" customWidth="1"/>
    <col min="8" max="8" width="16.140625" style="1" customWidth="1"/>
    <col min="9" max="9" width="35.28515625" style="1" customWidth="1"/>
    <col min="10" max="16384" width="7.7109375" style="1"/>
  </cols>
  <sheetData>
    <row r="1" spans="1:9" ht="56.25" customHeight="1">
      <c r="A1" s="837" t="s">
        <v>464</v>
      </c>
      <c r="B1" s="837"/>
      <c r="C1" s="837"/>
      <c r="D1" s="837"/>
      <c r="E1" s="837"/>
      <c r="F1" s="837"/>
      <c r="G1" s="837"/>
      <c r="H1" s="837"/>
      <c r="I1" s="837"/>
    </row>
    <row r="2" spans="1:9" ht="19.5" customHeight="1">
      <c r="A2" s="838" t="s">
        <v>437</v>
      </c>
      <c r="B2" s="839"/>
      <c r="C2" s="839"/>
      <c r="D2" s="839"/>
      <c r="E2" s="839"/>
      <c r="F2" s="839"/>
      <c r="G2" s="839"/>
      <c r="H2" s="839"/>
      <c r="I2" s="839"/>
    </row>
    <row r="3" spans="1:9" s="22" customFormat="1" ht="34.5" customHeight="1">
      <c r="A3" s="137" t="s">
        <v>48</v>
      </c>
      <c r="B3" s="840" t="s">
        <v>2</v>
      </c>
      <c r="C3" s="841"/>
      <c r="D3" s="842"/>
      <c r="E3" s="20" t="s">
        <v>465</v>
      </c>
      <c r="F3" s="137" t="s">
        <v>466</v>
      </c>
      <c r="G3" s="20" t="s">
        <v>467</v>
      </c>
      <c r="H3" s="138" t="s">
        <v>52</v>
      </c>
      <c r="I3" s="139" t="s">
        <v>53</v>
      </c>
    </row>
    <row r="4" spans="1:9" s="4" customFormat="1" ht="42" customHeight="1">
      <c r="A4" s="817">
        <v>1</v>
      </c>
      <c r="B4" s="819" t="s">
        <v>468</v>
      </c>
      <c r="C4" s="819" t="s">
        <v>469</v>
      </c>
      <c r="D4" s="843" t="s">
        <v>470</v>
      </c>
      <c r="E4" s="142" t="s">
        <v>471</v>
      </c>
      <c r="F4" s="142">
        <v>15</v>
      </c>
      <c r="G4" s="142">
        <v>1699</v>
      </c>
      <c r="H4" s="143">
        <v>25485</v>
      </c>
      <c r="I4" s="845" t="s">
        <v>472</v>
      </c>
    </row>
    <row r="5" spans="1:9" s="4" customFormat="1" ht="17.25" customHeight="1">
      <c r="A5" s="818"/>
      <c r="B5" s="820"/>
      <c r="C5" s="820"/>
      <c r="D5" s="844"/>
      <c r="E5" s="142" t="s">
        <v>473</v>
      </c>
      <c r="F5" s="142">
        <v>10</v>
      </c>
      <c r="G5" s="142">
        <v>549</v>
      </c>
      <c r="H5" s="143">
        <v>5490</v>
      </c>
      <c r="I5" s="846"/>
    </row>
    <row r="6" spans="1:9" s="4" customFormat="1" ht="17.25" customHeight="1">
      <c r="A6" s="818"/>
      <c r="B6" s="820"/>
      <c r="C6" s="820"/>
      <c r="D6" s="844"/>
      <c r="E6" s="142" t="s">
        <v>474</v>
      </c>
      <c r="F6" s="142">
        <v>5</v>
      </c>
      <c r="G6" s="142">
        <v>15599</v>
      </c>
      <c r="H6" s="143">
        <v>77995</v>
      </c>
      <c r="I6" s="846"/>
    </row>
    <row r="7" spans="1:9" s="4" customFormat="1" ht="17.25" customHeight="1">
      <c r="A7" s="818"/>
      <c r="B7" s="820"/>
      <c r="C7" s="820"/>
      <c r="D7" s="844"/>
      <c r="E7" s="142" t="s">
        <v>475</v>
      </c>
      <c r="F7" s="142">
        <v>5</v>
      </c>
      <c r="G7" s="144">
        <v>7969</v>
      </c>
      <c r="H7" s="143">
        <v>39845</v>
      </c>
      <c r="I7" s="846"/>
    </row>
    <row r="8" spans="1:9" s="4" customFormat="1" ht="23.25" customHeight="1">
      <c r="A8" s="818"/>
      <c r="B8" s="820"/>
      <c r="C8" s="820"/>
      <c r="D8" s="844"/>
      <c r="E8" s="142" t="s">
        <v>476</v>
      </c>
      <c r="F8" s="142">
        <v>2</v>
      </c>
      <c r="G8" s="144">
        <v>31000</v>
      </c>
      <c r="H8" s="143">
        <v>72000</v>
      </c>
      <c r="I8" s="846"/>
    </row>
    <row r="9" spans="1:9" s="4" customFormat="1" ht="21.75" customHeight="1">
      <c r="A9" s="818"/>
      <c r="B9" s="820"/>
      <c r="C9" s="820"/>
      <c r="D9" s="844"/>
      <c r="E9" s="142" t="s">
        <v>477</v>
      </c>
      <c r="F9" s="142">
        <v>2</v>
      </c>
      <c r="G9" s="144">
        <v>7914</v>
      </c>
      <c r="H9" s="143">
        <v>15825</v>
      </c>
      <c r="I9" s="846"/>
    </row>
    <row r="10" spans="1:9" s="4" customFormat="1" ht="21.75" customHeight="1">
      <c r="A10" s="818"/>
      <c r="B10" s="820"/>
      <c r="C10" s="820"/>
      <c r="D10" s="844"/>
      <c r="E10" s="142" t="s">
        <v>478</v>
      </c>
      <c r="F10" s="142">
        <v>15</v>
      </c>
      <c r="G10" s="144">
        <v>100</v>
      </c>
      <c r="H10" s="143">
        <v>1500</v>
      </c>
      <c r="I10" s="846"/>
    </row>
    <row r="11" spans="1:9" s="4" customFormat="1" ht="23.25" customHeight="1">
      <c r="A11" s="818"/>
      <c r="B11" s="820"/>
      <c r="C11" s="820"/>
      <c r="D11" s="844"/>
      <c r="E11" s="142" t="s">
        <v>479</v>
      </c>
      <c r="F11" s="142">
        <v>15</v>
      </c>
      <c r="G11" s="142">
        <v>170</v>
      </c>
      <c r="H11" s="143">
        <v>2550</v>
      </c>
      <c r="I11" s="846"/>
    </row>
    <row r="12" spans="1:9" s="4" customFormat="1" ht="17.25" customHeight="1">
      <c r="A12" s="818"/>
      <c r="B12" s="820"/>
      <c r="C12" s="820"/>
      <c r="D12" s="844"/>
      <c r="E12" s="142" t="s">
        <v>480</v>
      </c>
      <c r="F12" s="142">
        <v>15</v>
      </c>
      <c r="G12" s="142">
        <v>30</v>
      </c>
      <c r="H12" s="145">
        <v>450</v>
      </c>
      <c r="I12" s="846"/>
    </row>
    <row r="13" spans="1:9" s="4" customFormat="1" ht="17.25" customHeight="1">
      <c r="A13" s="818"/>
      <c r="B13" s="820"/>
      <c r="C13" s="820"/>
      <c r="D13" s="844"/>
      <c r="E13" s="142" t="s">
        <v>481</v>
      </c>
      <c r="F13" s="142">
        <v>15</v>
      </c>
      <c r="G13" s="142">
        <v>65</v>
      </c>
      <c r="H13" s="143">
        <v>975</v>
      </c>
      <c r="I13" s="846"/>
    </row>
    <row r="14" spans="1:9" s="4" customFormat="1" ht="17.25" customHeight="1">
      <c r="A14" s="818"/>
      <c r="B14" s="820"/>
      <c r="C14" s="820"/>
      <c r="D14" s="844"/>
      <c r="E14" s="142" t="s">
        <v>482</v>
      </c>
      <c r="F14" s="142">
        <v>15</v>
      </c>
      <c r="G14" s="142">
        <v>72</v>
      </c>
      <c r="H14" s="143">
        <v>1080</v>
      </c>
      <c r="I14" s="846"/>
    </row>
    <row r="15" spans="1:9" s="4" customFormat="1" ht="17.25" customHeight="1">
      <c r="A15" s="818"/>
      <c r="B15" s="820"/>
      <c r="C15" s="820"/>
      <c r="D15" s="844"/>
      <c r="E15" s="142" t="s">
        <v>483</v>
      </c>
      <c r="F15" s="142">
        <v>15</v>
      </c>
      <c r="G15" s="142">
        <v>100</v>
      </c>
      <c r="H15" s="143">
        <v>1500</v>
      </c>
      <c r="I15" s="846"/>
    </row>
    <row r="16" spans="1:9" s="4" customFormat="1" ht="17.25" customHeight="1">
      <c r="A16" s="818"/>
      <c r="B16" s="820"/>
      <c r="C16" s="820"/>
      <c r="D16" s="844"/>
      <c r="E16" s="142" t="s">
        <v>484</v>
      </c>
      <c r="F16" s="142">
        <v>15</v>
      </c>
      <c r="G16" s="142">
        <v>350</v>
      </c>
      <c r="H16" s="143">
        <v>5250</v>
      </c>
      <c r="I16" s="846"/>
    </row>
    <row r="17" spans="1:9" s="4" customFormat="1" ht="29.25" customHeight="1">
      <c r="A17" s="818"/>
      <c r="B17" s="820"/>
      <c r="C17" s="820"/>
      <c r="D17" s="844"/>
      <c r="E17" s="142" t="s">
        <v>485</v>
      </c>
      <c r="F17" s="142">
        <v>15</v>
      </c>
      <c r="G17" s="142">
        <v>300</v>
      </c>
      <c r="H17" s="143">
        <v>4500</v>
      </c>
      <c r="I17" s="846"/>
    </row>
    <row r="18" spans="1:9" s="4" customFormat="1" ht="17.25" customHeight="1">
      <c r="A18" s="818"/>
      <c r="B18" s="820"/>
      <c r="C18" s="820"/>
      <c r="D18" s="844"/>
      <c r="E18" s="142" t="s">
        <v>486</v>
      </c>
      <c r="F18" s="142">
        <v>15</v>
      </c>
      <c r="G18" s="142">
        <v>350</v>
      </c>
      <c r="H18" s="143">
        <v>5250</v>
      </c>
      <c r="I18" s="846"/>
    </row>
    <row r="19" spans="1:9" s="4" customFormat="1" ht="17.25" customHeight="1">
      <c r="A19" s="818"/>
      <c r="B19" s="820"/>
      <c r="C19" s="820"/>
      <c r="D19" s="844"/>
      <c r="E19" s="142" t="s">
        <v>487</v>
      </c>
      <c r="F19" s="142">
        <v>5</v>
      </c>
      <c r="G19" s="144">
        <v>1600</v>
      </c>
      <c r="H19" s="143">
        <v>8000</v>
      </c>
      <c r="I19" s="846"/>
    </row>
    <row r="20" spans="1:9" s="4" customFormat="1" ht="17.25" customHeight="1">
      <c r="A20" s="818"/>
      <c r="B20" s="820"/>
      <c r="C20" s="820"/>
      <c r="D20" s="844"/>
      <c r="E20" s="142" t="s">
        <v>488</v>
      </c>
      <c r="F20" s="142">
        <v>5</v>
      </c>
      <c r="G20" s="144">
        <v>1500</v>
      </c>
      <c r="H20" s="143">
        <v>7500</v>
      </c>
      <c r="I20" s="846"/>
    </row>
    <row r="21" spans="1:9" s="4" customFormat="1" ht="17.25" customHeight="1">
      <c r="A21" s="818"/>
      <c r="B21" s="820"/>
      <c r="C21" s="820"/>
      <c r="D21" s="844"/>
      <c r="E21" s="142" t="s">
        <v>489</v>
      </c>
      <c r="F21" s="142">
        <v>5</v>
      </c>
      <c r="G21" s="144">
        <v>3299</v>
      </c>
      <c r="H21" s="143">
        <v>1645</v>
      </c>
      <c r="I21" s="846"/>
    </row>
    <row r="22" spans="1:9" s="4" customFormat="1" ht="17.25" customHeight="1">
      <c r="A22" s="818"/>
      <c r="B22" s="820"/>
      <c r="C22" s="820"/>
      <c r="D22" s="844"/>
      <c r="E22" s="142" t="s">
        <v>490</v>
      </c>
      <c r="F22" s="142">
        <v>5</v>
      </c>
      <c r="G22" s="144">
        <v>2635</v>
      </c>
      <c r="H22" s="143">
        <v>13175</v>
      </c>
      <c r="I22" s="846"/>
    </row>
    <row r="23" spans="1:9" s="4" customFormat="1" ht="17.25" customHeight="1">
      <c r="A23" s="818"/>
      <c r="B23" s="820"/>
      <c r="C23" s="820"/>
      <c r="D23" s="844"/>
      <c r="E23" s="142" t="s">
        <v>491</v>
      </c>
      <c r="F23" s="142">
        <v>5</v>
      </c>
      <c r="G23" s="144">
        <v>2208</v>
      </c>
      <c r="H23" s="143">
        <v>11040</v>
      </c>
      <c r="I23" s="846"/>
    </row>
    <row r="24" spans="1:9" s="4" customFormat="1" ht="17.25" customHeight="1">
      <c r="A24" s="818"/>
      <c r="B24" s="820"/>
      <c r="C24" s="820"/>
      <c r="D24" s="844"/>
      <c r="E24" s="142" t="s">
        <v>492</v>
      </c>
      <c r="F24" s="142">
        <v>10</v>
      </c>
      <c r="G24" s="142">
        <v>500</v>
      </c>
      <c r="H24" s="143">
        <v>5000</v>
      </c>
      <c r="I24" s="846"/>
    </row>
    <row r="25" spans="1:9" s="4" customFormat="1" ht="28.5" customHeight="1">
      <c r="A25" s="818"/>
      <c r="B25" s="820"/>
      <c r="C25" s="820"/>
      <c r="D25" s="844"/>
      <c r="E25" s="142" t="s">
        <v>493</v>
      </c>
      <c r="F25" s="142">
        <v>15</v>
      </c>
      <c r="G25" s="142">
        <v>1000</v>
      </c>
      <c r="H25" s="143">
        <v>15000</v>
      </c>
      <c r="I25" s="846"/>
    </row>
    <row r="26" spans="1:9" s="4" customFormat="1" ht="17.25" customHeight="1">
      <c r="A26" s="818"/>
      <c r="B26" s="820"/>
      <c r="C26" s="820"/>
      <c r="D26" s="844"/>
      <c r="E26" s="142" t="s">
        <v>494</v>
      </c>
      <c r="F26" s="142">
        <v>15</v>
      </c>
      <c r="G26" s="142">
        <v>500</v>
      </c>
      <c r="H26" s="143">
        <v>7500</v>
      </c>
      <c r="I26" s="846"/>
    </row>
    <row r="27" spans="1:9" s="4" customFormat="1" ht="17.25" customHeight="1">
      <c r="A27" s="818"/>
      <c r="B27" s="820"/>
      <c r="C27" s="820"/>
      <c r="D27" s="844"/>
      <c r="E27" s="142" t="s">
        <v>495</v>
      </c>
      <c r="F27" s="142">
        <v>10</v>
      </c>
      <c r="G27" s="142">
        <v>200</v>
      </c>
      <c r="H27" s="143">
        <v>2000</v>
      </c>
      <c r="I27" s="846"/>
    </row>
    <row r="28" spans="1:9" s="4" customFormat="1" ht="17.25" customHeight="1">
      <c r="A28" s="818"/>
      <c r="B28" s="820"/>
      <c r="C28" s="820"/>
      <c r="D28" s="844"/>
      <c r="E28" s="142" t="s">
        <v>496</v>
      </c>
      <c r="F28" s="142">
        <v>3</v>
      </c>
      <c r="G28" s="144">
        <v>1500</v>
      </c>
      <c r="H28" s="143">
        <v>4500</v>
      </c>
      <c r="I28" s="846"/>
    </row>
    <row r="29" spans="1:9" s="4" customFormat="1" ht="17.25" customHeight="1">
      <c r="A29" s="818"/>
      <c r="B29" s="820"/>
      <c r="C29" s="820"/>
      <c r="D29" s="844"/>
      <c r="E29" s="142" t="s">
        <v>497</v>
      </c>
      <c r="F29" s="142">
        <v>1</v>
      </c>
      <c r="G29" s="144">
        <v>50000</v>
      </c>
      <c r="H29" s="143">
        <v>50000</v>
      </c>
      <c r="I29" s="846"/>
    </row>
    <row r="30" spans="1:9" s="4" customFormat="1" ht="17.25" customHeight="1">
      <c r="A30" s="818"/>
      <c r="B30" s="820"/>
      <c r="C30" s="820"/>
      <c r="D30" s="844"/>
      <c r="E30" s="142" t="s">
        <v>498</v>
      </c>
      <c r="F30" s="142">
        <v>1</v>
      </c>
      <c r="G30" s="144">
        <v>15000</v>
      </c>
      <c r="H30" s="143">
        <v>15000</v>
      </c>
      <c r="I30" s="846"/>
    </row>
    <row r="31" spans="1:9" s="4" customFormat="1" ht="27" customHeight="1">
      <c r="A31" s="818"/>
      <c r="B31" s="820"/>
      <c r="C31" s="820"/>
      <c r="D31" s="844"/>
      <c r="E31" s="142" t="s">
        <v>499</v>
      </c>
      <c r="F31" s="142">
        <v>1</v>
      </c>
      <c r="G31" s="144">
        <v>100000</v>
      </c>
      <c r="H31" s="143">
        <v>100000</v>
      </c>
      <c r="I31" s="846"/>
    </row>
    <row r="32" spans="1:9" s="4" customFormat="1" ht="17.25" customHeight="1">
      <c r="A32" s="818"/>
      <c r="B32" s="820"/>
      <c r="C32" s="820"/>
      <c r="D32" s="844"/>
      <c r="E32" s="142" t="s">
        <v>500</v>
      </c>
      <c r="F32" s="142">
        <v>1</v>
      </c>
      <c r="G32" s="144"/>
      <c r="H32" s="143"/>
      <c r="I32" s="846"/>
    </row>
    <row r="33" spans="1:9" s="4" customFormat="1" ht="17.25" customHeight="1">
      <c r="A33" s="818"/>
      <c r="B33" s="820"/>
      <c r="C33" s="820"/>
      <c r="D33" s="844"/>
      <c r="E33" s="142" t="s">
        <v>501</v>
      </c>
      <c r="F33" s="142">
        <v>1</v>
      </c>
      <c r="G33" s="144">
        <v>200000</v>
      </c>
      <c r="H33" s="143">
        <v>200000</v>
      </c>
      <c r="I33" s="846"/>
    </row>
    <row r="34" spans="1:9" s="4" customFormat="1" ht="28.5" customHeight="1">
      <c r="A34" s="818"/>
      <c r="B34" s="820"/>
      <c r="C34" s="820"/>
      <c r="D34" s="844"/>
      <c r="E34" s="142" t="s">
        <v>502</v>
      </c>
      <c r="F34" s="142">
        <v>1</v>
      </c>
      <c r="G34" s="144"/>
      <c r="H34" s="143"/>
      <c r="I34" s="846"/>
    </row>
    <row r="35" spans="1:9" s="4" customFormat="1" ht="27" customHeight="1">
      <c r="A35" s="818"/>
      <c r="B35" s="820"/>
      <c r="C35" s="820"/>
      <c r="D35" s="844"/>
      <c r="E35" s="142" t="s">
        <v>503</v>
      </c>
      <c r="F35" s="142">
        <v>1</v>
      </c>
      <c r="G35" s="144">
        <v>15000</v>
      </c>
      <c r="H35" s="143">
        <v>15000</v>
      </c>
      <c r="I35" s="846"/>
    </row>
    <row r="36" spans="1:9" s="4" customFormat="1" ht="24.75" customHeight="1">
      <c r="A36" s="818"/>
      <c r="B36" s="820"/>
      <c r="C36" s="820"/>
      <c r="D36" s="844"/>
      <c r="E36" s="142" t="s">
        <v>504</v>
      </c>
      <c r="F36" s="142">
        <v>1</v>
      </c>
      <c r="G36" s="144"/>
      <c r="H36" s="143"/>
      <c r="I36" s="846"/>
    </row>
    <row r="37" spans="1:9" s="4" customFormat="1" ht="26.25" customHeight="1">
      <c r="A37" s="818"/>
      <c r="B37" s="820"/>
      <c r="C37" s="820"/>
      <c r="D37" s="844"/>
      <c r="E37" s="142" t="s">
        <v>505</v>
      </c>
      <c r="F37" s="142">
        <v>1</v>
      </c>
      <c r="G37" s="144"/>
      <c r="H37" s="143"/>
      <c r="I37" s="846"/>
    </row>
    <row r="38" spans="1:9" s="4" customFormat="1" ht="17.25" customHeight="1">
      <c r="A38" s="818"/>
      <c r="B38" s="820"/>
      <c r="C38" s="820"/>
      <c r="D38" s="844"/>
      <c r="E38" s="6"/>
      <c r="F38" s="6"/>
      <c r="G38" s="6"/>
      <c r="H38" s="145">
        <v>715055</v>
      </c>
      <c r="I38" s="847"/>
    </row>
    <row r="39" spans="1:9" s="4" customFormat="1" ht="17.25" customHeight="1">
      <c r="A39" s="818"/>
      <c r="B39" s="820"/>
      <c r="C39" s="820"/>
      <c r="D39" s="141" t="s">
        <v>506</v>
      </c>
      <c r="E39" s="8" t="s">
        <v>507</v>
      </c>
      <c r="F39" s="8">
        <v>2</v>
      </c>
      <c r="G39" s="8">
        <v>80000</v>
      </c>
      <c r="H39" s="14">
        <v>160000</v>
      </c>
      <c r="I39" s="848" t="s">
        <v>508</v>
      </c>
    </row>
    <row r="40" spans="1:9" s="4" customFormat="1" ht="17.25" customHeight="1">
      <c r="A40" s="818"/>
      <c r="B40" s="820"/>
      <c r="C40" s="829"/>
      <c r="D40" s="146"/>
      <c r="E40" s="120" t="s">
        <v>509</v>
      </c>
      <c r="F40" s="120">
        <v>2</v>
      </c>
      <c r="G40" s="120">
        <v>120000</v>
      </c>
      <c r="H40" s="120">
        <v>240000</v>
      </c>
      <c r="I40" s="849"/>
    </row>
    <row r="41" spans="1:9" s="4" customFormat="1" ht="17.25" customHeight="1">
      <c r="A41" s="818"/>
      <c r="B41" s="820"/>
      <c r="C41" s="820"/>
      <c r="D41" s="147" t="s">
        <v>510</v>
      </c>
      <c r="E41" s="148" t="s">
        <v>511</v>
      </c>
      <c r="F41" s="148">
        <v>1</v>
      </c>
      <c r="G41" s="148">
        <v>25000</v>
      </c>
      <c r="H41" s="148">
        <v>25000</v>
      </c>
      <c r="I41" s="13"/>
    </row>
    <row r="42" spans="1:9" s="4" customFormat="1" ht="17.25" customHeight="1">
      <c r="A42" s="818"/>
      <c r="B42" s="820"/>
      <c r="C42" s="828"/>
      <c r="D42" s="150" t="s">
        <v>512</v>
      </c>
      <c r="E42" s="40"/>
      <c r="F42" s="40"/>
      <c r="G42" s="40"/>
      <c r="H42" s="151"/>
      <c r="I42" s="13"/>
    </row>
    <row r="43" spans="1:9" s="4" customFormat="1" ht="17.25" customHeight="1">
      <c r="A43" s="818"/>
      <c r="B43" s="820"/>
      <c r="C43" s="819" t="s">
        <v>513</v>
      </c>
      <c r="D43" s="150" t="s">
        <v>514</v>
      </c>
      <c r="E43" s="6">
        <v>5000</v>
      </c>
      <c r="F43" s="6"/>
      <c r="G43" s="6"/>
      <c r="H43" s="12">
        <v>5000</v>
      </c>
      <c r="I43" s="13"/>
    </row>
    <row r="44" spans="1:9" s="4" customFormat="1" ht="17.25" customHeight="1">
      <c r="A44" s="818"/>
      <c r="B44" s="820"/>
      <c r="C44" s="820"/>
      <c r="D44" s="150" t="s">
        <v>515</v>
      </c>
      <c r="E44" s="6"/>
      <c r="F44" s="6"/>
      <c r="G44" s="6"/>
      <c r="H44" s="12"/>
      <c r="I44" s="13"/>
    </row>
    <row r="45" spans="1:9" s="4" customFormat="1" ht="17.25" customHeight="1">
      <c r="A45" s="818"/>
      <c r="B45" s="820"/>
      <c r="C45" s="820"/>
      <c r="D45" s="150" t="s">
        <v>516</v>
      </c>
      <c r="E45" s="6">
        <v>5000</v>
      </c>
      <c r="F45" s="6"/>
      <c r="G45" s="6"/>
      <c r="H45" s="12">
        <v>5000</v>
      </c>
      <c r="I45" s="13"/>
    </row>
    <row r="46" spans="1:9" s="4" customFormat="1" ht="17.25" customHeight="1">
      <c r="A46" s="827"/>
      <c r="B46" s="828"/>
      <c r="C46" s="828"/>
      <c r="D46" s="150" t="s">
        <v>512</v>
      </c>
      <c r="E46" s="6"/>
      <c r="F46" s="6"/>
      <c r="G46" s="6"/>
      <c r="H46" s="12"/>
      <c r="I46" s="13"/>
    </row>
    <row r="47" spans="1:9" s="4" customFormat="1" ht="21.2" customHeight="1">
      <c r="A47" s="817">
        <v>2</v>
      </c>
      <c r="B47" s="819" t="s">
        <v>517</v>
      </c>
      <c r="C47" s="150" t="s">
        <v>469</v>
      </c>
      <c r="D47" s="150" t="s">
        <v>470</v>
      </c>
      <c r="E47" s="6"/>
      <c r="F47" s="6"/>
      <c r="G47" s="6"/>
      <c r="H47" s="12"/>
      <c r="I47" s="13"/>
    </row>
    <row r="48" spans="1:9" s="4" customFormat="1" ht="17.25" customHeight="1">
      <c r="A48" s="818"/>
      <c r="B48" s="820"/>
      <c r="C48" s="819" t="s">
        <v>513</v>
      </c>
      <c r="D48" s="150" t="s">
        <v>518</v>
      </c>
      <c r="E48" s="6"/>
      <c r="F48" s="6"/>
      <c r="G48" s="6"/>
      <c r="H48" s="12"/>
      <c r="I48" s="13"/>
    </row>
    <row r="49" spans="1:9" s="4" customFormat="1" ht="17.25" customHeight="1">
      <c r="A49" s="818"/>
      <c r="B49" s="820"/>
      <c r="C49" s="820"/>
      <c r="D49" s="150" t="s">
        <v>519</v>
      </c>
      <c r="E49" s="6"/>
      <c r="F49" s="6"/>
      <c r="G49" s="6"/>
      <c r="H49" s="12"/>
      <c r="I49" s="13"/>
    </row>
    <row r="50" spans="1:9" s="4" customFormat="1" ht="17.25" customHeight="1">
      <c r="A50" s="827"/>
      <c r="B50" s="828"/>
      <c r="C50" s="828"/>
      <c r="D50" s="150" t="s">
        <v>512</v>
      </c>
      <c r="E50" s="6"/>
      <c r="F50" s="6"/>
      <c r="G50" s="6"/>
      <c r="H50" s="12"/>
      <c r="I50" s="13"/>
    </row>
    <row r="51" spans="1:9" s="4" customFormat="1" ht="21.2" customHeight="1">
      <c r="A51" s="817">
        <v>3</v>
      </c>
      <c r="B51" s="819" t="s">
        <v>520</v>
      </c>
      <c r="C51" s="150" t="s">
        <v>469</v>
      </c>
      <c r="D51" s="150" t="s">
        <v>470</v>
      </c>
      <c r="E51" s="6"/>
      <c r="F51" s="6"/>
      <c r="G51" s="6"/>
      <c r="H51" s="12"/>
      <c r="I51" s="13"/>
    </row>
    <row r="52" spans="1:9" s="4" customFormat="1" ht="17.25" customHeight="1">
      <c r="A52" s="818"/>
      <c r="B52" s="820"/>
      <c r="C52" s="819" t="s">
        <v>513</v>
      </c>
      <c r="D52" s="150" t="s">
        <v>521</v>
      </c>
      <c r="E52" s="6" t="s">
        <v>522</v>
      </c>
      <c r="F52" s="6">
        <v>1</v>
      </c>
      <c r="G52" s="12">
        <v>200000</v>
      </c>
      <c r="H52" s="12">
        <v>200000</v>
      </c>
      <c r="I52" s="13"/>
    </row>
    <row r="53" spans="1:9" s="4" customFormat="1" ht="17.25" customHeight="1">
      <c r="A53" s="818"/>
      <c r="B53" s="820"/>
      <c r="C53" s="820"/>
      <c r="D53" s="150" t="s">
        <v>523</v>
      </c>
      <c r="E53" s="6" t="s">
        <v>524</v>
      </c>
      <c r="F53" s="6">
        <v>10</v>
      </c>
      <c r="G53" s="6">
        <v>10000</v>
      </c>
      <c r="H53" s="12">
        <v>100000</v>
      </c>
      <c r="I53" s="13"/>
    </row>
    <row r="54" spans="1:9" s="4" customFormat="1" ht="17.25" customHeight="1">
      <c r="A54" s="818"/>
      <c r="B54" s="820"/>
      <c r="C54" s="820"/>
      <c r="D54" s="150" t="s">
        <v>525</v>
      </c>
      <c r="E54" s="6"/>
      <c r="F54" s="6"/>
      <c r="G54" s="6"/>
      <c r="H54" s="12"/>
      <c r="I54" s="13"/>
    </row>
    <row r="55" spans="1:9" s="4" customFormat="1" ht="17.25" customHeight="1">
      <c r="A55" s="827"/>
      <c r="B55" s="828"/>
      <c r="C55" s="820"/>
      <c r="D55" s="150" t="s">
        <v>512</v>
      </c>
      <c r="E55" s="6"/>
      <c r="F55" s="6"/>
      <c r="G55" s="6"/>
      <c r="H55" s="12"/>
      <c r="I55" s="13"/>
    </row>
    <row r="56" spans="1:9" s="4" customFormat="1" ht="21.2" customHeight="1">
      <c r="A56" s="817">
        <v>4</v>
      </c>
      <c r="B56" s="823" t="s">
        <v>526</v>
      </c>
      <c r="C56" s="830" t="s">
        <v>138</v>
      </c>
      <c r="D56" s="152" t="s">
        <v>139</v>
      </c>
      <c r="E56" s="153"/>
      <c r="F56" s="153"/>
      <c r="G56" s="153"/>
      <c r="H56" s="154"/>
      <c r="I56" s="13"/>
    </row>
    <row r="57" spans="1:9" s="4" customFormat="1" ht="35.25" customHeight="1">
      <c r="A57" s="818"/>
      <c r="B57" s="829"/>
      <c r="C57" s="831"/>
      <c r="D57" s="833" t="s">
        <v>527</v>
      </c>
      <c r="E57" s="155" t="s">
        <v>528</v>
      </c>
      <c r="F57" s="156">
        <v>2</v>
      </c>
      <c r="G57" s="157">
        <v>35000</v>
      </c>
      <c r="H57" s="157">
        <v>70000</v>
      </c>
      <c r="I57" s="834" t="s">
        <v>472</v>
      </c>
    </row>
    <row r="58" spans="1:9" s="4" customFormat="1" ht="32.25" customHeight="1">
      <c r="A58" s="818"/>
      <c r="B58" s="829"/>
      <c r="C58" s="831"/>
      <c r="D58" s="833"/>
      <c r="E58" s="155" t="s">
        <v>529</v>
      </c>
      <c r="F58" s="156">
        <v>2</v>
      </c>
      <c r="G58" s="157">
        <v>18000</v>
      </c>
      <c r="H58" s="157">
        <v>36000</v>
      </c>
      <c r="I58" s="835"/>
    </row>
    <row r="59" spans="1:9" s="4" customFormat="1" ht="32.25" customHeight="1">
      <c r="A59" s="818"/>
      <c r="B59" s="829"/>
      <c r="C59" s="831"/>
      <c r="D59" s="155" t="s">
        <v>530</v>
      </c>
      <c r="E59" s="155" t="s">
        <v>531</v>
      </c>
      <c r="F59" s="156">
        <v>3</v>
      </c>
      <c r="G59" s="157">
        <v>120000</v>
      </c>
      <c r="H59" s="157">
        <v>360000</v>
      </c>
      <c r="I59" s="835"/>
    </row>
    <row r="60" spans="1:9" s="4" customFormat="1" ht="32.25" customHeight="1">
      <c r="A60" s="818"/>
      <c r="B60" s="829"/>
      <c r="C60" s="831"/>
      <c r="D60" s="158" t="s">
        <v>532</v>
      </c>
      <c r="E60" s="155" t="s">
        <v>533</v>
      </c>
      <c r="F60" s="156">
        <v>1</v>
      </c>
      <c r="G60" s="157">
        <v>100000</v>
      </c>
      <c r="H60" s="157">
        <v>100000</v>
      </c>
      <c r="I60" s="835"/>
    </row>
    <row r="61" spans="1:9" s="4" customFormat="1" ht="21.2" customHeight="1">
      <c r="A61" s="818"/>
      <c r="B61" s="829"/>
      <c r="C61" s="832"/>
      <c r="D61" s="156" t="s">
        <v>534</v>
      </c>
      <c r="E61" s="156"/>
      <c r="F61" s="156"/>
      <c r="G61" s="156"/>
      <c r="H61" s="156">
        <v>34000</v>
      </c>
      <c r="I61" s="836"/>
    </row>
    <row r="62" spans="1:9" s="4" customFormat="1" ht="17.25" customHeight="1">
      <c r="A62" s="818"/>
      <c r="B62" s="820"/>
      <c r="C62" s="820" t="s">
        <v>513</v>
      </c>
      <c r="D62" s="149" t="s">
        <v>518</v>
      </c>
      <c r="E62" s="6" t="s">
        <v>522</v>
      </c>
      <c r="F62" s="6">
        <v>1</v>
      </c>
      <c r="G62" s="6"/>
      <c r="H62" s="12">
        <v>200000</v>
      </c>
      <c r="I62" s="13"/>
    </row>
    <row r="63" spans="1:9" s="4" customFormat="1" ht="17.25" customHeight="1">
      <c r="A63" s="818"/>
      <c r="B63" s="820"/>
      <c r="C63" s="820"/>
      <c r="D63" s="150" t="s">
        <v>519</v>
      </c>
      <c r="E63" s="6"/>
      <c r="F63" s="6"/>
      <c r="G63" s="6"/>
      <c r="H63" s="12"/>
      <c r="I63" s="13"/>
    </row>
    <row r="64" spans="1:9" s="4" customFormat="1" ht="17.25" customHeight="1">
      <c r="A64" s="827"/>
      <c r="B64" s="828"/>
      <c r="C64" s="828"/>
      <c r="D64" s="150" t="s">
        <v>512</v>
      </c>
      <c r="E64" s="6"/>
      <c r="F64" s="6"/>
      <c r="G64" s="6"/>
      <c r="H64" s="12"/>
      <c r="I64" s="13"/>
    </row>
    <row r="65" spans="1:9" s="4" customFormat="1" ht="17.25" customHeight="1">
      <c r="A65" s="817">
        <v>5</v>
      </c>
      <c r="B65" s="819" t="s">
        <v>535</v>
      </c>
      <c r="C65" s="819" t="s">
        <v>469</v>
      </c>
      <c r="D65" s="150" t="s">
        <v>470</v>
      </c>
      <c r="E65" s="6"/>
      <c r="F65" s="6"/>
      <c r="G65" s="6"/>
      <c r="H65" s="12"/>
      <c r="I65" s="13"/>
    </row>
    <row r="66" spans="1:9" s="4" customFormat="1" ht="17.25" customHeight="1">
      <c r="A66" s="818"/>
      <c r="B66" s="820"/>
      <c r="C66" s="828"/>
      <c r="D66" s="150" t="s">
        <v>512</v>
      </c>
      <c r="E66" s="6"/>
      <c r="F66" s="6"/>
      <c r="G66" s="6"/>
      <c r="H66" s="12"/>
      <c r="I66" s="13"/>
    </row>
    <row r="67" spans="1:9" s="4" customFormat="1" ht="17.25" customHeight="1">
      <c r="A67" s="818"/>
      <c r="B67" s="820"/>
      <c r="C67" s="819" t="s">
        <v>513</v>
      </c>
      <c r="D67" s="150" t="s">
        <v>536</v>
      </c>
      <c r="E67" s="6"/>
      <c r="F67" s="6"/>
      <c r="G67" s="6"/>
      <c r="H67" s="12"/>
      <c r="I67" s="13"/>
    </row>
    <row r="68" spans="1:9" s="4" customFormat="1" ht="17.25" customHeight="1">
      <c r="A68" s="818"/>
      <c r="B68" s="820"/>
      <c r="C68" s="820"/>
      <c r="D68" s="150" t="s">
        <v>537</v>
      </c>
      <c r="E68" s="6"/>
      <c r="F68" s="6"/>
      <c r="G68" s="6"/>
      <c r="H68" s="12"/>
      <c r="I68" s="13"/>
    </row>
    <row r="69" spans="1:9" s="4" customFormat="1" ht="17.25" customHeight="1">
      <c r="A69" s="818"/>
      <c r="B69" s="820"/>
      <c r="C69" s="820"/>
      <c r="D69" s="150" t="s">
        <v>538</v>
      </c>
      <c r="E69" s="6"/>
      <c r="F69" s="6"/>
      <c r="G69" s="6"/>
      <c r="H69" s="12"/>
      <c r="I69" s="13"/>
    </row>
    <row r="70" spans="1:9" s="4" customFormat="1" ht="17.25" customHeight="1">
      <c r="A70" s="818"/>
      <c r="B70" s="820"/>
      <c r="C70" s="820"/>
      <c r="D70" s="150" t="s">
        <v>539</v>
      </c>
      <c r="E70" s="6"/>
      <c r="F70" s="6"/>
      <c r="G70" s="6"/>
      <c r="H70" s="12"/>
      <c r="I70" s="13"/>
    </row>
    <row r="71" spans="1:9" s="4" customFormat="1" ht="17.25" customHeight="1">
      <c r="A71" s="818"/>
      <c r="B71" s="820"/>
      <c r="C71" s="820"/>
      <c r="D71" s="150" t="s">
        <v>540</v>
      </c>
      <c r="E71" s="6"/>
      <c r="F71" s="6"/>
      <c r="G71" s="6"/>
      <c r="H71" s="12"/>
      <c r="I71" s="13"/>
    </row>
    <row r="72" spans="1:9" s="4" customFormat="1" ht="17.25" customHeight="1">
      <c r="A72" s="827"/>
      <c r="B72" s="828"/>
      <c r="C72" s="828"/>
      <c r="D72" s="150" t="s">
        <v>512</v>
      </c>
      <c r="E72" s="6"/>
      <c r="F72" s="6"/>
      <c r="G72" s="6"/>
      <c r="H72" s="12"/>
      <c r="I72" s="13"/>
    </row>
    <row r="73" spans="1:9" s="4" customFormat="1" ht="17.25" customHeight="1">
      <c r="A73" s="817">
        <v>6</v>
      </c>
      <c r="B73" s="819" t="s">
        <v>56</v>
      </c>
      <c r="C73" s="819" t="s">
        <v>469</v>
      </c>
      <c r="D73" s="150" t="s">
        <v>470</v>
      </c>
      <c r="E73" s="6"/>
      <c r="F73" s="6"/>
      <c r="G73" s="6"/>
      <c r="H73" s="12"/>
      <c r="I73" s="13"/>
    </row>
    <row r="74" spans="1:9" s="4" customFormat="1" ht="17.25" customHeight="1">
      <c r="A74" s="818"/>
      <c r="B74" s="820"/>
      <c r="C74" s="828"/>
      <c r="D74" s="150" t="s">
        <v>512</v>
      </c>
      <c r="E74" s="6"/>
      <c r="F74" s="6"/>
      <c r="G74" s="6"/>
      <c r="H74" s="12"/>
      <c r="I74" s="13"/>
    </row>
    <row r="75" spans="1:9" s="4" customFormat="1" ht="17.25" customHeight="1">
      <c r="A75" s="818"/>
      <c r="B75" s="820"/>
      <c r="C75" s="819" t="s">
        <v>513</v>
      </c>
      <c r="D75" s="150" t="s">
        <v>516</v>
      </c>
      <c r="E75" s="6"/>
      <c r="F75" s="6"/>
      <c r="G75" s="6"/>
      <c r="H75" s="12"/>
      <c r="I75" s="13"/>
    </row>
    <row r="76" spans="1:9" s="4" customFormat="1" ht="17.25" customHeight="1">
      <c r="A76" s="827"/>
      <c r="B76" s="828"/>
      <c r="C76" s="828"/>
      <c r="D76" s="150" t="s">
        <v>512</v>
      </c>
      <c r="E76" s="6"/>
      <c r="F76" s="6"/>
      <c r="G76" s="6"/>
      <c r="H76" s="12"/>
      <c r="I76" s="13"/>
    </row>
    <row r="77" spans="1:9" s="4" customFormat="1" ht="17.25" customHeight="1">
      <c r="A77" s="817">
        <v>7</v>
      </c>
      <c r="B77" s="819" t="s">
        <v>541</v>
      </c>
      <c r="C77" s="819" t="s">
        <v>469</v>
      </c>
      <c r="D77" s="150" t="s">
        <v>470</v>
      </c>
      <c r="E77" s="6"/>
      <c r="F77" s="6"/>
      <c r="G77" s="6"/>
      <c r="H77" s="12"/>
      <c r="I77" s="13"/>
    </row>
    <row r="78" spans="1:9" s="4" customFormat="1" ht="17.25" customHeight="1">
      <c r="A78" s="818"/>
      <c r="B78" s="820"/>
      <c r="C78" s="828"/>
      <c r="D78" s="150" t="s">
        <v>512</v>
      </c>
      <c r="E78" s="6"/>
      <c r="F78" s="6"/>
      <c r="G78" s="6"/>
      <c r="H78" s="12"/>
      <c r="I78" s="13"/>
    </row>
    <row r="79" spans="1:9" s="4" customFormat="1" ht="17.25" customHeight="1">
      <c r="A79" s="818"/>
      <c r="B79" s="820"/>
      <c r="C79" s="819" t="s">
        <v>513</v>
      </c>
      <c r="D79" s="150" t="s">
        <v>470</v>
      </c>
      <c r="E79" s="6"/>
      <c r="F79" s="6"/>
      <c r="G79" s="6"/>
      <c r="H79" s="12"/>
      <c r="I79" s="13"/>
    </row>
    <row r="80" spans="1:9" s="4" customFormat="1" ht="17.25" customHeight="1">
      <c r="A80" s="827"/>
      <c r="B80" s="828"/>
      <c r="C80" s="828"/>
      <c r="D80" s="150" t="s">
        <v>512</v>
      </c>
      <c r="E80" s="6"/>
      <c r="F80" s="6"/>
      <c r="G80" s="6"/>
      <c r="H80" s="12"/>
      <c r="I80" s="13"/>
    </row>
    <row r="81" spans="1:9" s="4" customFormat="1" ht="17.25" customHeight="1">
      <c r="A81" s="817">
        <v>8</v>
      </c>
      <c r="B81" s="819" t="s">
        <v>27</v>
      </c>
      <c r="C81" s="819" t="s">
        <v>469</v>
      </c>
      <c r="D81" s="150" t="s">
        <v>470</v>
      </c>
      <c r="E81" s="6"/>
      <c r="F81" s="6"/>
      <c r="G81" s="6"/>
      <c r="H81" s="12"/>
      <c r="I81" s="13"/>
    </row>
    <row r="82" spans="1:9" s="4" customFormat="1" ht="17.25" customHeight="1">
      <c r="A82" s="818"/>
      <c r="B82" s="820"/>
      <c r="C82" s="828"/>
      <c r="D82" s="150" t="s">
        <v>512</v>
      </c>
      <c r="E82" s="6"/>
      <c r="F82" s="6"/>
      <c r="G82" s="6"/>
      <c r="H82" s="12"/>
      <c r="I82" s="13"/>
    </row>
    <row r="83" spans="1:9" s="4" customFormat="1" ht="17.25" customHeight="1">
      <c r="A83" s="818"/>
      <c r="B83" s="820"/>
      <c r="C83" s="819" t="s">
        <v>513</v>
      </c>
      <c r="D83" s="150" t="s">
        <v>470</v>
      </c>
      <c r="E83" s="6"/>
      <c r="F83" s="6"/>
      <c r="G83" s="6"/>
      <c r="H83" s="12"/>
      <c r="I83" s="13"/>
    </row>
    <row r="84" spans="1:9" s="4" customFormat="1" ht="17.25" customHeight="1">
      <c r="A84" s="827"/>
      <c r="B84" s="828"/>
      <c r="C84" s="828"/>
      <c r="D84" s="150" t="s">
        <v>512</v>
      </c>
      <c r="E84" s="6"/>
      <c r="F84" s="6"/>
      <c r="G84" s="6"/>
      <c r="H84" s="12"/>
      <c r="I84" s="13"/>
    </row>
    <row r="85" spans="1:9" s="4" customFormat="1" ht="17.25" customHeight="1">
      <c r="A85" s="817">
        <v>9</v>
      </c>
      <c r="B85" s="819" t="s">
        <v>28</v>
      </c>
      <c r="C85" s="819" t="s">
        <v>469</v>
      </c>
      <c r="D85" s="150" t="s">
        <v>470</v>
      </c>
      <c r="E85" s="6"/>
      <c r="F85" s="6"/>
      <c r="G85" s="6"/>
      <c r="H85" s="12"/>
      <c r="I85" s="13"/>
    </row>
    <row r="86" spans="1:9" s="4" customFormat="1" ht="17.25" customHeight="1">
      <c r="A86" s="818"/>
      <c r="B86" s="820"/>
      <c r="C86" s="828"/>
      <c r="D86" s="150" t="s">
        <v>512</v>
      </c>
      <c r="E86" s="6"/>
      <c r="F86" s="6"/>
      <c r="G86" s="6"/>
      <c r="H86" s="12"/>
      <c r="I86" s="13"/>
    </row>
    <row r="87" spans="1:9" s="4" customFormat="1" ht="17.25" customHeight="1">
      <c r="A87" s="818"/>
      <c r="B87" s="820"/>
      <c r="C87" s="819" t="s">
        <v>513</v>
      </c>
      <c r="D87" s="150" t="s">
        <v>470</v>
      </c>
      <c r="E87" s="6"/>
      <c r="F87" s="6"/>
      <c r="G87" s="6"/>
      <c r="H87" s="12"/>
      <c r="I87" s="13"/>
    </row>
    <row r="88" spans="1:9" s="4" customFormat="1" ht="17.25" customHeight="1">
      <c r="A88" s="827"/>
      <c r="B88" s="828"/>
      <c r="C88" s="828"/>
      <c r="D88" s="150" t="s">
        <v>512</v>
      </c>
      <c r="E88" s="6"/>
      <c r="F88" s="6"/>
      <c r="G88" s="6"/>
      <c r="H88" s="12"/>
      <c r="I88" s="13"/>
    </row>
    <row r="89" spans="1:9" s="4" customFormat="1" ht="17.25" customHeight="1">
      <c r="A89" s="817">
        <v>10</v>
      </c>
      <c r="B89" s="819" t="s">
        <v>57</v>
      </c>
      <c r="C89" s="819" t="s">
        <v>469</v>
      </c>
      <c r="D89" s="159" t="s">
        <v>542</v>
      </c>
      <c r="E89" s="6"/>
      <c r="F89" s="6"/>
      <c r="G89" s="6"/>
      <c r="H89" s="12"/>
      <c r="I89" s="13"/>
    </row>
    <row r="90" spans="1:9" s="4" customFormat="1" ht="17.25" customHeight="1">
      <c r="A90" s="818"/>
      <c r="B90" s="820"/>
      <c r="C90" s="828"/>
      <c r="D90" s="140" t="s">
        <v>512</v>
      </c>
      <c r="E90" s="6"/>
      <c r="F90" s="6"/>
      <c r="G90" s="6"/>
      <c r="H90" s="12"/>
      <c r="I90" s="13"/>
    </row>
    <row r="91" spans="1:9" s="4" customFormat="1" ht="17.25" customHeight="1">
      <c r="A91" s="818"/>
      <c r="B91" s="820"/>
      <c r="C91" s="819" t="s">
        <v>513</v>
      </c>
      <c r="D91" s="159" t="s">
        <v>543</v>
      </c>
      <c r="E91" s="6"/>
      <c r="F91" s="6"/>
      <c r="G91" s="6"/>
      <c r="H91" s="12"/>
      <c r="I91" s="13"/>
    </row>
    <row r="92" spans="1:9" s="4" customFormat="1" ht="17.25" customHeight="1">
      <c r="A92" s="827"/>
      <c r="B92" s="828"/>
      <c r="C92" s="828"/>
      <c r="D92" s="140" t="s">
        <v>512</v>
      </c>
      <c r="E92" s="6"/>
      <c r="F92" s="6"/>
      <c r="G92" s="6"/>
      <c r="H92" s="12"/>
      <c r="I92" s="13"/>
    </row>
    <row r="93" spans="1:9" s="4" customFormat="1" ht="17.25" customHeight="1">
      <c r="A93" s="817">
        <v>11</v>
      </c>
      <c r="B93" s="819" t="s">
        <v>544</v>
      </c>
      <c r="C93" s="821" t="s">
        <v>469</v>
      </c>
      <c r="D93" s="822"/>
      <c r="E93" s="6"/>
      <c r="F93" s="6"/>
      <c r="G93" s="6"/>
      <c r="H93" s="12"/>
      <c r="I93" s="13"/>
    </row>
    <row r="94" spans="1:9" s="4" customFormat="1" ht="17.25" customHeight="1">
      <c r="A94" s="827"/>
      <c r="B94" s="828"/>
      <c r="C94" s="821" t="s">
        <v>513</v>
      </c>
      <c r="D94" s="822"/>
      <c r="E94" s="6"/>
      <c r="F94" s="6"/>
      <c r="G94" s="6"/>
      <c r="H94" s="12"/>
      <c r="I94" s="13"/>
    </row>
    <row r="95" spans="1:9" s="4" customFormat="1" ht="17.25" customHeight="1">
      <c r="A95" s="817">
        <v>12</v>
      </c>
      <c r="B95" s="711" t="s">
        <v>545</v>
      </c>
      <c r="C95" s="821" t="s">
        <v>469</v>
      </c>
      <c r="D95" s="822"/>
      <c r="E95" s="6"/>
      <c r="F95" s="6"/>
      <c r="G95" s="6"/>
      <c r="H95" s="12"/>
      <c r="I95" s="13"/>
    </row>
    <row r="96" spans="1:9" s="4" customFormat="1" ht="17.25" customHeight="1">
      <c r="A96" s="827"/>
      <c r="B96" s="712"/>
      <c r="C96" s="821" t="s">
        <v>513</v>
      </c>
      <c r="D96" s="822"/>
      <c r="E96" s="6"/>
      <c r="F96" s="6"/>
      <c r="G96" s="6"/>
      <c r="H96" s="12"/>
      <c r="I96" s="13"/>
    </row>
    <row r="97" spans="1:9" s="4" customFormat="1" ht="17.25" customHeight="1">
      <c r="A97" s="817">
        <v>13</v>
      </c>
      <c r="B97" s="819" t="s">
        <v>33</v>
      </c>
      <c r="C97" s="821" t="s">
        <v>469</v>
      </c>
      <c r="D97" s="822"/>
      <c r="E97" s="6"/>
      <c r="F97" s="6"/>
      <c r="G97" s="6"/>
      <c r="H97" s="12"/>
      <c r="I97" s="13"/>
    </row>
    <row r="98" spans="1:9" s="4" customFormat="1" ht="17.25" customHeight="1">
      <c r="A98" s="827"/>
      <c r="B98" s="828"/>
      <c r="C98" s="821" t="s">
        <v>513</v>
      </c>
      <c r="D98" s="822"/>
      <c r="E98" s="6"/>
      <c r="F98" s="6"/>
      <c r="G98" s="6"/>
      <c r="H98" s="12"/>
      <c r="I98" s="13"/>
    </row>
    <row r="99" spans="1:9" s="4" customFormat="1" ht="17.25" customHeight="1">
      <c r="A99" s="817">
        <v>14</v>
      </c>
      <c r="B99" s="819" t="s">
        <v>34</v>
      </c>
      <c r="C99" s="819" t="s">
        <v>469</v>
      </c>
      <c r="D99" s="150" t="s">
        <v>470</v>
      </c>
      <c r="E99" s="6"/>
      <c r="F99" s="6"/>
      <c r="G99" s="6"/>
      <c r="H99" s="12"/>
      <c r="I99" s="13"/>
    </row>
    <row r="100" spans="1:9" s="4" customFormat="1" ht="17.25" customHeight="1">
      <c r="A100" s="818"/>
      <c r="B100" s="820"/>
      <c r="C100" s="828"/>
      <c r="D100" s="150" t="s">
        <v>512</v>
      </c>
      <c r="E100" s="6"/>
      <c r="F100" s="6"/>
      <c r="G100" s="6"/>
      <c r="H100" s="12"/>
      <c r="I100" s="13"/>
    </row>
    <row r="101" spans="1:9" s="4" customFormat="1" ht="17.25" customHeight="1">
      <c r="A101" s="818"/>
      <c r="B101" s="820"/>
      <c r="C101" s="819" t="s">
        <v>513</v>
      </c>
      <c r="D101" s="150" t="s">
        <v>470</v>
      </c>
      <c r="E101" s="6"/>
      <c r="F101" s="6"/>
      <c r="G101" s="6"/>
      <c r="H101" s="12"/>
      <c r="I101" s="13"/>
    </row>
    <row r="102" spans="1:9" s="4" customFormat="1" ht="17.25" customHeight="1">
      <c r="A102" s="827"/>
      <c r="B102" s="828"/>
      <c r="C102" s="828"/>
      <c r="D102" s="150" t="s">
        <v>512</v>
      </c>
      <c r="E102" s="6"/>
      <c r="F102" s="6"/>
      <c r="G102" s="6"/>
      <c r="H102" s="12"/>
      <c r="I102" s="13"/>
    </row>
    <row r="103" spans="1:9" s="4" customFormat="1">
      <c r="A103" s="817">
        <v>15</v>
      </c>
      <c r="B103" s="819" t="s">
        <v>35</v>
      </c>
      <c r="C103" s="821" t="s">
        <v>469</v>
      </c>
      <c r="D103" s="822"/>
      <c r="E103" s="6"/>
      <c r="F103" s="6"/>
      <c r="G103" s="6"/>
      <c r="H103" s="12"/>
      <c r="I103" s="13"/>
    </row>
    <row r="104" spans="1:9" s="4" customFormat="1">
      <c r="A104" s="818"/>
      <c r="B104" s="820"/>
      <c r="C104" s="823" t="s">
        <v>513</v>
      </c>
      <c r="D104" s="824"/>
      <c r="E104" s="8"/>
      <c r="F104" s="8"/>
      <c r="G104" s="8"/>
      <c r="H104" s="14"/>
      <c r="I104" s="13"/>
    </row>
    <row r="105" spans="1:9" s="4" customFormat="1">
      <c r="A105" s="817">
        <v>16</v>
      </c>
      <c r="B105" s="819" t="s">
        <v>36</v>
      </c>
      <c r="C105" s="821" t="s">
        <v>469</v>
      </c>
      <c r="D105" s="822"/>
      <c r="E105" s="6"/>
      <c r="F105" s="6"/>
      <c r="G105" s="6"/>
      <c r="H105" s="12"/>
      <c r="I105" s="13"/>
    </row>
    <row r="106" spans="1:9" s="4" customFormat="1">
      <c r="A106" s="818"/>
      <c r="B106" s="820"/>
      <c r="C106" s="823" t="s">
        <v>513</v>
      </c>
      <c r="D106" s="824"/>
      <c r="E106" s="8"/>
      <c r="F106" s="8"/>
      <c r="G106" s="8"/>
      <c r="H106" s="14"/>
      <c r="I106" s="13"/>
    </row>
    <row r="107" spans="1:9" s="4" customFormat="1">
      <c r="A107" s="817">
        <v>17</v>
      </c>
      <c r="B107" s="819" t="s">
        <v>37</v>
      </c>
      <c r="C107" s="821" t="s">
        <v>469</v>
      </c>
      <c r="D107" s="822"/>
      <c r="E107" s="6"/>
      <c r="F107" s="6"/>
      <c r="G107" s="6"/>
      <c r="H107" s="12"/>
      <c r="I107" s="13"/>
    </row>
    <row r="108" spans="1:9" s="4" customFormat="1">
      <c r="A108" s="818"/>
      <c r="B108" s="820"/>
      <c r="C108" s="823" t="s">
        <v>513</v>
      </c>
      <c r="D108" s="824"/>
      <c r="E108" s="8"/>
      <c r="F108" s="8"/>
      <c r="G108" s="8"/>
      <c r="H108" s="14"/>
      <c r="I108" s="13"/>
    </row>
    <row r="109" spans="1:9" s="4" customFormat="1">
      <c r="A109" s="817">
        <v>18</v>
      </c>
      <c r="B109" s="819" t="s">
        <v>38</v>
      </c>
      <c r="C109" s="821" t="s">
        <v>469</v>
      </c>
      <c r="D109" s="822"/>
      <c r="E109" s="6"/>
      <c r="F109" s="6"/>
      <c r="G109" s="6"/>
      <c r="H109" s="12"/>
      <c r="I109" s="13"/>
    </row>
    <row r="110" spans="1:9" s="4" customFormat="1">
      <c r="A110" s="818"/>
      <c r="B110" s="820"/>
      <c r="C110" s="823" t="s">
        <v>513</v>
      </c>
      <c r="D110" s="824"/>
      <c r="E110" s="8"/>
      <c r="F110" s="8"/>
      <c r="G110" s="8"/>
      <c r="H110" s="14"/>
      <c r="I110" s="13"/>
    </row>
    <row r="111" spans="1:9" s="4" customFormat="1">
      <c r="A111" s="817">
        <v>19</v>
      </c>
      <c r="B111" s="819" t="s">
        <v>39</v>
      </c>
      <c r="C111" s="821" t="s">
        <v>469</v>
      </c>
      <c r="D111" s="822"/>
      <c r="E111" s="6"/>
      <c r="F111" s="6"/>
      <c r="G111" s="6"/>
      <c r="H111" s="12"/>
      <c r="I111" s="13"/>
    </row>
    <row r="112" spans="1:9" s="4" customFormat="1">
      <c r="A112" s="818"/>
      <c r="B112" s="820"/>
      <c r="C112" s="823" t="s">
        <v>513</v>
      </c>
      <c r="D112" s="824"/>
      <c r="E112" s="8"/>
      <c r="F112" s="8"/>
      <c r="G112" s="8"/>
      <c r="H112" s="14"/>
      <c r="I112" s="13"/>
    </row>
    <row r="113" spans="1:9" s="4" customFormat="1">
      <c r="A113" s="817">
        <v>20</v>
      </c>
      <c r="B113" s="819" t="s">
        <v>40</v>
      </c>
      <c r="C113" s="821" t="s">
        <v>469</v>
      </c>
      <c r="D113" s="822"/>
      <c r="E113" s="6"/>
      <c r="F113" s="6"/>
      <c r="G113" s="6"/>
      <c r="H113" s="12"/>
      <c r="I113" s="13"/>
    </row>
    <row r="114" spans="1:9" s="4" customFormat="1">
      <c r="A114" s="818"/>
      <c r="B114" s="820"/>
      <c r="C114" s="823" t="s">
        <v>513</v>
      </c>
      <c r="D114" s="824"/>
      <c r="E114" s="8"/>
      <c r="F114" s="8"/>
      <c r="G114" s="8"/>
      <c r="H114" s="14"/>
      <c r="I114" s="13"/>
    </row>
    <row r="115" spans="1:9" s="4" customFormat="1">
      <c r="A115" s="817">
        <v>21</v>
      </c>
      <c r="B115" s="819" t="s">
        <v>41</v>
      </c>
      <c r="C115" s="821" t="s">
        <v>469</v>
      </c>
      <c r="D115" s="822"/>
      <c r="E115" s="6"/>
      <c r="F115" s="6"/>
      <c r="G115" s="6"/>
      <c r="H115" s="12"/>
      <c r="I115" s="13"/>
    </row>
    <row r="116" spans="1:9" s="4" customFormat="1">
      <c r="A116" s="818"/>
      <c r="B116" s="820"/>
      <c r="C116" s="823" t="s">
        <v>513</v>
      </c>
      <c r="D116" s="824"/>
      <c r="E116" s="8"/>
      <c r="F116" s="8"/>
      <c r="G116" s="8"/>
      <c r="H116" s="14"/>
      <c r="I116" s="13"/>
    </row>
    <row r="117" spans="1:9" s="4" customFormat="1">
      <c r="A117" s="817">
        <v>22</v>
      </c>
      <c r="B117" s="819" t="s">
        <v>546</v>
      </c>
      <c r="C117" s="825" t="s">
        <v>547</v>
      </c>
      <c r="D117" s="826"/>
      <c r="E117" s="6"/>
      <c r="F117" s="6"/>
      <c r="G117" s="6"/>
      <c r="H117" s="12"/>
      <c r="I117" s="13"/>
    </row>
    <row r="118" spans="1:9" s="4" customFormat="1">
      <c r="A118" s="818"/>
      <c r="B118" s="820"/>
      <c r="C118" s="821" t="s">
        <v>548</v>
      </c>
      <c r="D118" s="822"/>
      <c r="E118" s="6"/>
      <c r="F118" s="6"/>
      <c r="G118" s="6"/>
      <c r="H118" s="12"/>
      <c r="I118" s="13"/>
    </row>
    <row r="119" spans="1:9" s="4" customFormat="1">
      <c r="A119" s="818"/>
      <c r="B119" s="820"/>
      <c r="C119" s="821" t="s">
        <v>63</v>
      </c>
      <c r="D119" s="822"/>
      <c r="E119" s="6"/>
      <c r="F119" s="6"/>
      <c r="G119" s="6"/>
      <c r="H119" s="12"/>
      <c r="I119" s="13"/>
    </row>
    <row r="120" spans="1:9" s="4" customFormat="1">
      <c r="A120" s="818"/>
      <c r="B120" s="820"/>
      <c r="C120" s="821" t="s">
        <v>549</v>
      </c>
      <c r="D120" s="822"/>
      <c r="E120" s="6"/>
      <c r="F120" s="6"/>
      <c r="G120" s="6"/>
      <c r="H120" s="12"/>
      <c r="I120" s="13"/>
    </row>
    <row r="121" spans="1:9" s="4" customFormat="1">
      <c r="A121" s="818"/>
      <c r="B121" s="820"/>
      <c r="C121" s="815" t="s">
        <v>550</v>
      </c>
      <c r="D121" s="816"/>
      <c r="E121" s="8"/>
      <c r="F121" s="8"/>
      <c r="G121" s="8"/>
      <c r="H121" s="14"/>
      <c r="I121" s="13"/>
    </row>
    <row r="122" spans="1:9" s="4" customFormat="1">
      <c r="A122" s="811">
        <v>23</v>
      </c>
      <c r="B122" s="812" t="s">
        <v>551</v>
      </c>
      <c r="C122" s="804" t="s">
        <v>67</v>
      </c>
      <c r="D122" s="806"/>
      <c r="E122" s="13"/>
      <c r="F122" s="13"/>
      <c r="G122" s="13"/>
      <c r="H122" s="23"/>
      <c r="I122" s="13"/>
    </row>
    <row r="123" spans="1:9" s="4" customFormat="1">
      <c r="A123" s="811"/>
      <c r="B123" s="812"/>
      <c r="C123" s="804" t="s">
        <v>552</v>
      </c>
      <c r="D123" s="806"/>
      <c r="E123" s="13"/>
      <c r="F123" s="13"/>
      <c r="G123" s="13"/>
      <c r="H123" s="23"/>
      <c r="I123" s="13"/>
    </row>
    <row r="124" spans="1:9" s="4" customFormat="1">
      <c r="A124" s="811"/>
      <c r="B124" s="812"/>
      <c r="C124" s="804" t="s">
        <v>69</v>
      </c>
      <c r="D124" s="806"/>
      <c r="E124" s="13"/>
      <c r="F124" s="13"/>
      <c r="G124" s="13"/>
      <c r="H124" s="23"/>
      <c r="I124" s="13"/>
    </row>
    <row r="125" spans="1:9" s="4" customFormat="1">
      <c r="A125" s="811"/>
      <c r="B125" s="812"/>
      <c r="C125" s="804" t="s">
        <v>553</v>
      </c>
      <c r="D125" s="806"/>
      <c r="E125" s="13"/>
      <c r="F125" s="13"/>
      <c r="G125" s="13"/>
      <c r="H125" s="23"/>
      <c r="I125" s="13"/>
    </row>
    <row r="126" spans="1:9" s="4" customFormat="1">
      <c r="A126" s="811"/>
      <c r="B126" s="812"/>
      <c r="C126" s="804" t="s">
        <v>554</v>
      </c>
      <c r="D126" s="806"/>
      <c r="E126" s="13"/>
      <c r="F126" s="13"/>
      <c r="G126" s="13"/>
      <c r="H126" s="23"/>
      <c r="I126" s="13"/>
    </row>
    <row r="127" spans="1:9" s="4" customFormat="1">
      <c r="A127" s="811"/>
      <c r="B127" s="812"/>
      <c r="C127" s="804" t="s">
        <v>555</v>
      </c>
      <c r="D127" s="806"/>
      <c r="E127" s="13"/>
      <c r="F127" s="13"/>
      <c r="G127" s="13"/>
      <c r="H127" s="23"/>
      <c r="I127" s="13"/>
    </row>
    <row r="128" spans="1:9" s="4" customFormat="1">
      <c r="A128" s="811"/>
      <c r="B128" s="812"/>
      <c r="C128" s="804" t="s">
        <v>556</v>
      </c>
      <c r="D128" s="806"/>
      <c r="E128" s="13"/>
      <c r="F128" s="13"/>
      <c r="G128" s="13"/>
      <c r="H128" s="23"/>
      <c r="I128" s="13"/>
    </row>
    <row r="129" spans="1:9" s="4" customFormat="1">
      <c r="A129" s="811"/>
      <c r="B129" s="812"/>
      <c r="C129" s="804" t="s">
        <v>512</v>
      </c>
      <c r="D129" s="806"/>
      <c r="E129" s="13"/>
      <c r="F129" s="13"/>
      <c r="G129" s="13"/>
      <c r="H129" s="23"/>
      <c r="I129" s="13"/>
    </row>
    <row r="130" spans="1:9" s="4" customFormat="1" ht="31.5" customHeight="1">
      <c r="A130" s="811">
        <v>24</v>
      </c>
      <c r="B130" s="812" t="s">
        <v>557</v>
      </c>
      <c r="C130" s="804" t="s">
        <v>75</v>
      </c>
      <c r="D130" s="806"/>
      <c r="E130" s="13"/>
      <c r="F130" s="13"/>
      <c r="G130" s="13"/>
      <c r="H130" s="23"/>
      <c r="I130" s="13"/>
    </row>
    <row r="131" spans="1:9" s="4" customFormat="1">
      <c r="A131" s="811"/>
      <c r="B131" s="812"/>
      <c r="C131" s="804" t="s">
        <v>76</v>
      </c>
      <c r="D131" s="806"/>
      <c r="E131" s="13"/>
      <c r="F131" s="13"/>
      <c r="G131" s="13"/>
      <c r="H131" s="23"/>
      <c r="I131" s="13"/>
    </row>
    <row r="132" spans="1:9" s="4" customFormat="1">
      <c r="A132" s="811"/>
      <c r="B132" s="812"/>
      <c r="C132" s="804" t="s">
        <v>77</v>
      </c>
      <c r="D132" s="806"/>
      <c r="E132" s="13"/>
      <c r="F132" s="13"/>
      <c r="G132" s="13"/>
      <c r="H132" s="23"/>
      <c r="I132" s="13"/>
    </row>
    <row r="133" spans="1:9" s="4" customFormat="1" ht="15.75" customHeight="1">
      <c r="A133" s="160">
        <v>25</v>
      </c>
      <c r="B133" s="804" t="s">
        <v>42</v>
      </c>
      <c r="C133" s="805"/>
      <c r="D133" s="806"/>
      <c r="E133" s="13"/>
      <c r="F133" s="13"/>
      <c r="G133" s="13"/>
      <c r="H133" s="23"/>
      <c r="I133" s="13"/>
    </row>
    <row r="134" spans="1:9" s="4" customFormat="1">
      <c r="A134" s="811">
        <v>26</v>
      </c>
      <c r="B134" s="812" t="s">
        <v>558</v>
      </c>
      <c r="C134" s="804" t="s">
        <v>559</v>
      </c>
      <c r="D134" s="806"/>
      <c r="E134" s="13"/>
      <c r="F134" s="13"/>
      <c r="G134" s="13"/>
      <c r="H134" s="23"/>
      <c r="I134" s="13"/>
    </row>
    <row r="135" spans="1:9" s="4" customFormat="1">
      <c r="A135" s="811"/>
      <c r="B135" s="812"/>
      <c r="C135" s="804" t="s">
        <v>560</v>
      </c>
      <c r="D135" s="806"/>
      <c r="E135" s="13"/>
      <c r="F135" s="13"/>
      <c r="G135" s="13"/>
      <c r="H135" s="23"/>
      <c r="I135" s="13"/>
    </row>
    <row r="136" spans="1:9" s="4" customFormat="1">
      <c r="A136" s="811"/>
      <c r="B136" s="812"/>
      <c r="C136" s="804" t="s">
        <v>561</v>
      </c>
      <c r="D136" s="806"/>
      <c r="E136" s="13"/>
      <c r="F136" s="13"/>
      <c r="G136" s="13"/>
      <c r="H136" s="23"/>
      <c r="I136" s="13"/>
    </row>
    <row r="137" spans="1:9" s="4" customFormat="1">
      <c r="A137" s="811"/>
      <c r="B137" s="812"/>
      <c r="C137" s="804" t="s">
        <v>562</v>
      </c>
      <c r="D137" s="806"/>
      <c r="E137" s="13"/>
      <c r="F137" s="13"/>
      <c r="G137" s="13"/>
      <c r="H137" s="23"/>
      <c r="I137" s="13"/>
    </row>
    <row r="138" spans="1:9" s="4" customFormat="1">
      <c r="A138" s="811"/>
      <c r="B138" s="812"/>
      <c r="C138" s="804" t="s">
        <v>69</v>
      </c>
      <c r="D138" s="806"/>
      <c r="E138" s="13"/>
      <c r="F138" s="13"/>
      <c r="G138" s="13"/>
      <c r="H138" s="23"/>
      <c r="I138" s="13"/>
    </row>
    <row r="139" spans="1:9" s="4" customFormat="1">
      <c r="A139" s="811"/>
      <c r="B139" s="812"/>
      <c r="C139" s="813" t="s">
        <v>553</v>
      </c>
      <c r="D139" s="814"/>
      <c r="E139" s="13"/>
      <c r="F139" s="13"/>
      <c r="G139" s="13"/>
      <c r="H139" s="23"/>
      <c r="I139" s="13"/>
    </row>
    <row r="140" spans="1:9" s="4" customFormat="1">
      <c r="A140" s="811"/>
      <c r="B140" s="812"/>
      <c r="C140" s="804" t="s">
        <v>563</v>
      </c>
      <c r="D140" s="806"/>
      <c r="E140" s="13"/>
      <c r="F140" s="13"/>
      <c r="G140" s="13"/>
      <c r="H140" s="23"/>
      <c r="I140" s="13"/>
    </row>
    <row r="141" spans="1:9" s="4" customFormat="1">
      <c r="A141" s="811"/>
      <c r="B141" s="812"/>
      <c r="C141" s="804" t="s">
        <v>564</v>
      </c>
      <c r="D141" s="806"/>
      <c r="E141" s="13"/>
      <c r="F141" s="13"/>
      <c r="G141" s="13"/>
      <c r="H141" s="23"/>
      <c r="I141" s="13"/>
    </row>
    <row r="142" spans="1:9" s="4" customFormat="1">
      <c r="A142" s="811"/>
      <c r="B142" s="812"/>
      <c r="C142" s="804" t="s">
        <v>565</v>
      </c>
      <c r="D142" s="806"/>
      <c r="E142" s="13"/>
      <c r="F142" s="13"/>
      <c r="G142" s="13"/>
      <c r="H142" s="23"/>
      <c r="I142" s="13"/>
    </row>
    <row r="143" spans="1:9" s="4" customFormat="1">
      <c r="A143" s="811"/>
      <c r="B143" s="812"/>
      <c r="C143" s="804" t="s">
        <v>566</v>
      </c>
      <c r="D143" s="806"/>
      <c r="E143" s="13"/>
      <c r="F143" s="13"/>
      <c r="G143" s="13"/>
      <c r="H143" s="23"/>
      <c r="I143" s="13"/>
    </row>
    <row r="144" spans="1:9" s="4" customFormat="1">
      <c r="A144" s="811"/>
      <c r="B144" s="812"/>
      <c r="C144" s="804" t="s">
        <v>87</v>
      </c>
      <c r="D144" s="806"/>
      <c r="E144" s="13"/>
      <c r="F144" s="13"/>
      <c r="G144" s="13"/>
      <c r="H144" s="23"/>
      <c r="I144" s="13"/>
    </row>
    <row r="145" spans="1:9" s="4" customFormat="1">
      <c r="A145" s="811"/>
      <c r="B145" s="812"/>
      <c r="C145" s="804" t="s">
        <v>567</v>
      </c>
      <c r="D145" s="806"/>
      <c r="E145" s="13"/>
      <c r="F145" s="13"/>
      <c r="G145" s="13"/>
      <c r="H145" s="23"/>
      <c r="I145" s="13"/>
    </row>
    <row r="146" spans="1:9" s="4" customFormat="1" ht="15.75" customHeight="1">
      <c r="A146" s="160">
        <v>27</v>
      </c>
      <c r="B146" s="804" t="s">
        <v>89</v>
      </c>
      <c r="C146" s="805"/>
      <c r="D146" s="806"/>
      <c r="E146" s="13"/>
      <c r="F146" s="13"/>
      <c r="G146" s="13"/>
      <c r="H146" s="23"/>
      <c r="I146" s="13"/>
    </row>
    <row r="147" spans="1:9" s="4" customFormat="1" ht="15.75" customHeight="1">
      <c r="A147" s="160">
        <v>28</v>
      </c>
      <c r="B147" s="804" t="s">
        <v>43</v>
      </c>
      <c r="C147" s="805"/>
      <c r="D147" s="806"/>
      <c r="E147" s="13"/>
      <c r="F147" s="13"/>
      <c r="G147" s="13"/>
      <c r="H147" s="23"/>
      <c r="I147" s="13"/>
    </row>
    <row r="148" spans="1:9">
      <c r="A148" s="161"/>
      <c r="B148" s="807" t="s">
        <v>568</v>
      </c>
      <c r="C148" s="807"/>
      <c r="D148" s="807"/>
      <c r="E148" s="24"/>
      <c r="F148" s="24"/>
      <c r="G148" s="24"/>
      <c r="H148" s="162">
        <v>935000</v>
      </c>
      <c r="I148" s="24"/>
    </row>
    <row r="149" spans="1:9" s="17" customFormat="1" ht="42" customHeight="1">
      <c r="A149" s="808" t="s">
        <v>91</v>
      </c>
      <c r="B149" s="809"/>
      <c r="C149" s="809"/>
      <c r="D149" s="809"/>
      <c r="E149" s="809"/>
      <c r="F149" s="809"/>
      <c r="G149" s="809"/>
      <c r="H149" s="809"/>
      <c r="I149" s="810"/>
    </row>
  </sheetData>
  <mergeCells count="131">
    <mergeCell ref="A1:I1"/>
    <mergeCell ref="A2:I2"/>
    <mergeCell ref="B3:D3"/>
    <mergeCell ref="A4:A46"/>
    <mergeCell ref="B4:B46"/>
    <mergeCell ref="C4:C42"/>
    <mergeCell ref="D4:D38"/>
    <mergeCell ref="I4:I38"/>
    <mergeCell ref="I39:I40"/>
    <mergeCell ref="C43:C46"/>
    <mergeCell ref="A56:A64"/>
    <mergeCell ref="B56:B64"/>
    <mergeCell ref="C56:C61"/>
    <mergeCell ref="D57:D58"/>
    <mergeCell ref="I57:I61"/>
    <mergeCell ref="C62:C64"/>
    <mergeCell ref="A47:A50"/>
    <mergeCell ref="B47:B50"/>
    <mergeCell ref="C48:C50"/>
    <mergeCell ref="A51:A55"/>
    <mergeCell ref="B51:B55"/>
    <mergeCell ref="C52:C55"/>
    <mergeCell ref="A77:A80"/>
    <mergeCell ref="B77:B80"/>
    <mergeCell ref="C77:C78"/>
    <mergeCell ref="C79:C80"/>
    <mergeCell ref="A81:A84"/>
    <mergeCell ref="B81:B84"/>
    <mergeCell ref="C81:C82"/>
    <mergeCell ref="C83:C84"/>
    <mergeCell ref="A65:A72"/>
    <mergeCell ref="B65:B72"/>
    <mergeCell ref="C65:C66"/>
    <mergeCell ref="C67:C72"/>
    <mergeCell ref="A73:A76"/>
    <mergeCell ref="B73:B76"/>
    <mergeCell ref="C73:C74"/>
    <mergeCell ref="C75:C76"/>
    <mergeCell ref="A93:A94"/>
    <mergeCell ref="B93:B94"/>
    <mergeCell ref="C93:D93"/>
    <mergeCell ref="C94:D94"/>
    <mergeCell ref="A95:A96"/>
    <mergeCell ref="B95:B96"/>
    <mergeCell ref="C95:D95"/>
    <mergeCell ref="C96:D96"/>
    <mergeCell ref="A85:A88"/>
    <mergeCell ref="B85:B88"/>
    <mergeCell ref="C85:C86"/>
    <mergeCell ref="C87:C88"/>
    <mergeCell ref="A89:A92"/>
    <mergeCell ref="B89:B92"/>
    <mergeCell ref="C89:C90"/>
    <mergeCell ref="C91:C92"/>
    <mergeCell ref="A103:A104"/>
    <mergeCell ref="B103:B104"/>
    <mergeCell ref="C103:D103"/>
    <mergeCell ref="C104:D104"/>
    <mergeCell ref="A105:A106"/>
    <mergeCell ref="B105:B106"/>
    <mergeCell ref="C105:D105"/>
    <mergeCell ref="C106:D106"/>
    <mergeCell ref="A97:A98"/>
    <mergeCell ref="B97:B98"/>
    <mergeCell ref="C97:D97"/>
    <mergeCell ref="C98:D98"/>
    <mergeCell ref="A99:A102"/>
    <mergeCell ref="B99:B102"/>
    <mergeCell ref="C99:C100"/>
    <mergeCell ref="C101:C102"/>
    <mergeCell ref="A111:A112"/>
    <mergeCell ref="B111:B112"/>
    <mergeCell ref="C111:D111"/>
    <mergeCell ref="C112:D112"/>
    <mergeCell ref="A113:A114"/>
    <mergeCell ref="B113:B114"/>
    <mergeCell ref="C113:D113"/>
    <mergeCell ref="C114:D114"/>
    <mergeCell ref="A107:A108"/>
    <mergeCell ref="B107:B108"/>
    <mergeCell ref="C107:D107"/>
    <mergeCell ref="C108:D108"/>
    <mergeCell ref="A109:A110"/>
    <mergeCell ref="B109:B110"/>
    <mergeCell ref="C109:D109"/>
    <mergeCell ref="C110:D110"/>
    <mergeCell ref="A115:A116"/>
    <mergeCell ref="B115:B116"/>
    <mergeCell ref="C115:D115"/>
    <mergeCell ref="C116:D116"/>
    <mergeCell ref="A117:A121"/>
    <mergeCell ref="B117:B121"/>
    <mergeCell ref="C117:D117"/>
    <mergeCell ref="C118:D118"/>
    <mergeCell ref="C119:D119"/>
    <mergeCell ref="C120:D120"/>
    <mergeCell ref="C129:D129"/>
    <mergeCell ref="A130:A132"/>
    <mergeCell ref="B130:B132"/>
    <mergeCell ref="C130:D130"/>
    <mergeCell ref="C131:D131"/>
    <mergeCell ref="C132:D132"/>
    <mergeCell ref="C121:D121"/>
    <mergeCell ref="A122:A129"/>
    <mergeCell ref="B122:B129"/>
    <mergeCell ref="C122:D122"/>
    <mergeCell ref="C123:D123"/>
    <mergeCell ref="C124:D124"/>
    <mergeCell ref="C125:D125"/>
    <mergeCell ref="C126:D126"/>
    <mergeCell ref="C127:D127"/>
    <mergeCell ref="C128:D128"/>
    <mergeCell ref="B133:D133"/>
    <mergeCell ref="A134:A145"/>
    <mergeCell ref="B134:B145"/>
    <mergeCell ref="C134:D134"/>
    <mergeCell ref="C135:D135"/>
    <mergeCell ref="C136:D136"/>
    <mergeCell ref="C137:D137"/>
    <mergeCell ref="C138:D138"/>
    <mergeCell ref="C139:D139"/>
    <mergeCell ref="C140:D140"/>
    <mergeCell ref="B147:D147"/>
    <mergeCell ref="B148:D148"/>
    <mergeCell ref="A149:I149"/>
    <mergeCell ref="C141:D141"/>
    <mergeCell ref="C142:D142"/>
    <mergeCell ref="C143:D143"/>
    <mergeCell ref="C144:D144"/>
    <mergeCell ref="C145:D145"/>
    <mergeCell ref="B146:D14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F6E0-E3D8-4A48-8DFC-23225C0756F3}">
  <dimension ref="A1:M22"/>
  <sheetViews>
    <sheetView workbookViewId="0">
      <selection activeCell="T14" sqref="T14"/>
    </sheetView>
  </sheetViews>
  <sheetFormatPr defaultRowHeight="15"/>
  <cols>
    <col min="1" max="9" width="9.140625" style="1"/>
    <col min="10" max="10" width="12.42578125" style="1" customWidth="1"/>
    <col min="11" max="11" width="14.85546875" style="1" customWidth="1"/>
    <col min="12" max="12" width="20" style="1" customWidth="1"/>
    <col min="13" max="13" width="17.28515625" style="1" customWidth="1"/>
    <col min="14" max="16384" width="9.140625" style="1"/>
  </cols>
  <sheetData>
    <row r="1" spans="1:13" ht="17.25">
      <c r="A1" s="862"/>
      <c r="B1" s="862"/>
      <c r="C1" s="862"/>
      <c r="D1" s="862"/>
      <c r="E1" s="862"/>
      <c r="F1" s="862"/>
      <c r="G1" s="862"/>
      <c r="H1" s="862"/>
      <c r="I1" s="862"/>
      <c r="J1" s="862"/>
      <c r="K1" s="862"/>
      <c r="L1" s="862"/>
      <c r="M1" s="862"/>
    </row>
    <row r="2" spans="1:13" ht="18.75">
      <c r="A2" s="863" t="s">
        <v>569</v>
      </c>
      <c r="B2" s="863"/>
      <c r="C2" s="863"/>
      <c r="D2" s="863"/>
      <c r="E2" s="863"/>
      <c r="F2" s="863"/>
      <c r="G2" s="863"/>
      <c r="H2" s="863"/>
      <c r="I2" s="863"/>
      <c r="J2" s="863"/>
      <c r="K2" s="863"/>
      <c r="L2" s="863"/>
      <c r="M2" s="863"/>
    </row>
    <row r="3" spans="1:13" ht="18.75">
      <c r="A3" s="864" t="s">
        <v>570</v>
      </c>
      <c r="B3" s="864"/>
      <c r="C3" s="864"/>
      <c r="D3" s="864"/>
      <c r="E3" s="864"/>
      <c r="F3" s="864"/>
      <c r="G3" s="864"/>
      <c r="H3" s="864"/>
      <c r="I3" s="864"/>
      <c r="J3" s="864"/>
      <c r="K3" s="864"/>
      <c r="L3" s="864"/>
      <c r="M3" s="864"/>
    </row>
    <row r="4" spans="1:13" ht="15.75">
      <c r="A4" s="859" t="s">
        <v>571</v>
      </c>
      <c r="B4" s="859"/>
      <c r="C4" s="859"/>
      <c r="D4" s="859"/>
      <c r="E4" s="859"/>
      <c r="F4" s="859"/>
      <c r="G4" s="859"/>
      <c r="H4" s="859"/>
      <c r="I4" s="859"/>
      <c r="J4" s="859"/>
      <c r="K4" s="859"/>
      <c r="L4" s="859"/>
      <c r="M4" s="859"/>
    </row>
    <row r="5" spans="1:13" ht="18.75">
      <c r="A5" s="861" t="s">
        <v>572</v>
      </c>
      <c r="B5" s="861"/>
      <c r="C5" s="861"/>
      <c r="D5" s="861"/>
      <c r="E5" s="861"/>
      <c r="F5" s="861"/>
      <c r="G5" s="861"/>
      <c r="H5" s="861"/>
      <c r="I5" s="861"/>
      <c r="J5" s="861"/>
      <c r="K5" s="861"/>
      <c r="L5" s="861"/>
      <c r="M5" s="861"/>
    </row>
    <row r="6" spans="1:13" ht="15.75">
      <c r="A6" s="859" t="s">
        <v>48</v>
      </c>
      <c r="B6" s="859" t="s">
        <v>573</v>
      </c>
      <c r="C6" s="859"/>
      <c r="D6" s="859"/>
      <c r="E6" s="859"/>
      <c r="F6" s="859"/>
      <c r="G6" s="859"/>
      <c r="H6" s="859" t="s">
        <v>574</v>
      </c>
      <c r="I6" s="859"/>
      <c r="J6" s="859"/>
      <c r="K6" s="859" t="s">
        <v>134</v>
      </c>
      <c r="L6" s="270" t="s">
        <v>575</v>
      </c>
      <c r="M6" s="270" t="s">
        <v>576</v>
      </c>
    </row>
    <row r="7" spans="1:13" ht="15.75">
      <c r="A7" s="859"/>
      <c r="B7" s="859"/>
      <c r="C7" s="859"/>
      <c r="D7" s="859"/>
      <c r="E7" s="859"/>
      <c r="F7" s="859"/>
      <c r="G7" s="859"/>
      <c r="H7" s="859" t="s">
        <v>577</v>
      </c>
      <c r="I7" s="859"/>
      <c r="J7" s="859"/>
      <c r="K7" s="859"/>
      <c r="L7" s="270" t="s">
        <v>578</v>
      </c>
      <c r="M7" s="270" t="s">
        <v>578</v>
      </c>
    </row>
    <row r="8" spans="1:13" ht="33.75" customHeight="1">
      <c r="A8" s="860">
        <v>5</v>
      </c>
      <c r="B8" s="852" t="s">
        <v>579</v>
      </c>
      <c r="C8" s="852"/>
      <c r="D8" s="852" t="s">
        <v>138</v>
      </c>
      <c r="E8" s="852"/>
      <c r="F8" s="852" t="s">
        <v>139</v>
      </c>
      <c r="G8" s="852"/>
      <c r="H8" s="853" t="s">
        <v>580</v>
      </c>
      <c r="I8" s="853"/>
      <c r="J8" s="853"/>
      <c r="K8" s="269" t="s">
        <v>581</v>
      </c>
      <c r="L8" s="271">
        <v>13000</v>
      </c>
      <c r="M8" s="272" t="s">
        <v>582</v>
      </c>
    </row>
    <row r="9" spans="1:13" ht="33.75" customHeight="1">
      <c r="A9" s="860"/>
      <c r="B9" s="852"/>
      <c r="C9" s="852"/>
      <c r="D9" s="852"/>
      <c r="E9" s="852"/>
      <c r="F9" s="852" t="s">
        <v>77</v>
      </c>
      <c r="G9" s="852"/>
      <c r="H9" s="853" t="s">
        <v>583</v>
      </c>
      <c r="I9" s="853"/>
      <c r="J9" s="853"/>
      <c r="K9" s="273" t="s">
        <v>584</v>
      </c>
      <c r="L9" s="274" t="s">
        <v>585</v>
      </c>
      <c r="M9" s="271">
        <v>30000</v>
      </c>
    </row>
    <row r="10" spans="1:13" ht="33.75" customHeight="1">
      <c r="A10" s="860"/>
      <c r="B10" s="852"/>
      <c r="C10" s="852"/>
      <c r="D10" s="852" t="s">
        <v>127</v>
      </c>
      <c r="E10" s="852"/>
      <c r="F10" s="852" t="s">
        <v>586</v>
      </c>
      <c r="G10" s="852"/>
      <c r="H10" s="853" t="s">
        <v>587</v>
      </c>
      <c r="I10" s="853"/>
      <c r="J10" s="853"/>
      <c r="K10" s="273">
        <v>7000</v>
      </c>
      <c r="L10" s="273">
        <v>500</v>
      </c>
      <c r="M10" s="275" t="s">
        <v>588</v>
      </c>
    </row>
    <row r="11" spans="1:13" ht="33.75" customHeight="1">
      <c r="A11" s="860"/>
      <c r="B11" s="852"/>
      <c r="C11" s="852"/>
      <c r="D11" s="852"/>
      <c r="E11" s="852"/>
      <c r="F11" s="852" t="s">
        <v>589</v>
      </c>
      <c r="G11" s="852"/>
      <c r="H11" s="856" t="s">
        <v>590</v>
      </c>
      <c r="I11" s="856"/>
      <c r="J11" s="856"/>
      <c r="K11" s="273" t="s">
        <v>591</v>
      </c>
      <c r="L11" s="273">
        <v>500</v>
      </c>
      <c r="M11" s="272" t="s">
        <v>592</v>
      </c>
    </row>
    <row r="12" spans="1:13" ht="33.75" customHeight="1">
      <c r="A12" s="860"/>
      <c r="B12" s="852"/>
      <c r="C12" s="852"/>
      <c r="D12" s="852"/>
      <c r="E12" s="852"/>
      <c r="F12" s="852" t="s">
        <v>593</v>
      </c>
      <c r="G12" s="852"/>
      <c r="H12" s="853" t="s">
        <v>594</v>
      </c>
      <c r="I12" s="853"/>
      <c r="J12" s="853"/>
      <c r="K12" s="273" t="s">
        <v>595</v>
      </c>
      <c r="L12" s="276"/>
      <c r="M12" s="272" t="s">
        <v>596</v>
      </c>
    </row>
    <row r="13" spans="1:13" ht="33.75" customHeight="1">
      <c r="A13" s="860"/>
      <c r="B13" s="852"/>
      <c r="C13" s="852"/>
      <c r="D13" s="852"/>
      <c r="E13" s="852"/>
      <c r="F13" s="852" t="s">
        <v>597</v>
      </c>
      <c r="G13" s="852"/>
      <c r="H13" s="856" t="s">
        <v>598</v>
      </c>
      <c r="I13" s="856"/>
      <c r="J13" s="856"/>
      <c r="K13" s="857" t="s">
        <v>599</v>
      </c>
      <c r="L13" s="854" t="s">
        <v>600</v>
      </c>
      <c r="M13" s="858" t="s">
        <v>601</v>
      </c>
    </row>
    <row r="14" spans="1:13" ht="33.75" customHeight="1">
      <c r="A14" s="860"/>
      <c r="B14" s="852"/>
      <c r="C14" s="852"/>
      <c r="D14" s="852"/>
      <c r="E14" s="852"/>
      <c r="F14" s="852"/>
      <c r="G14" s="852"/>
      <c r="H14" s="856" t="s">
        <v>602</v>
      </c>
      <c r="I14" s="856"/>
      <c r="J14" s="856"/>
      <c r="K14" s="857"/>
      <c r="L14" s="854"/>
      <c r="M14" s="858"/>
    </row>
    <row r="15" spans="1:13" ht="33.75" customHeight="1">
      <c r="A15" s="860"/>
      <c r="B15" s="852"/>
      <c r="C15" s="852"/>
      <c r="D15" s="852"/>
      <c r="E15" s="852"/>
      <c r="F15" s="852"/>
      <c r="G15" s="852"/>
      <c r="H15" s="277" t="s">
        <v>603</v>
      </c>
      <c r="I15" s="24"/>
      <c r="J15" s="24"/>
      <c r="K15" s="857"/>
      <c r="L15" s="854"/>
      <c r="M15" s="858"/>
    </row>
    <row r="16" spans="1:13" ht="33.75" customHeight="1">
      <c r="A16" s="860"/>
      <c r="B16" s="852"/>
      <c r="C16" s="852"/>
      <c r="D16" s="852"/>
      <c r="E16" s="852"/>
      <c r="F16" s="852" t="s">
        <v>604</v>
      </c>
      <c r="G16" s="852"/>
      <c r="H16" s="853" t="s">
        <v>605</v>
      </c>
      <c r="I16" s="853"/>
      <c r="J16" s="853"/>
      <c r="K16" s="136"/>
      <c r="L16" s="278"/>
      <c r="M16" s="275" t="s">
        <v>606</v>
      </c>
    </row>
    <row r="17" spans="1:13" ht="15.75">
      <c r="A17" s="860"/>
      <c r="B17" s="852"/>
      <c r="C17" s="852"/>
      <c r="D17" s="852"/>
      <c r="E17" s="852"/>
      <c r="F17" s="852" t="s">
        <v>77</v>
      </c>
      <c r="G17" s="852"/>
      <c r="H17" s="853"/>
      <c r="I17" s="853"/>
      <c r="J17" s="853"/>
      <c r="K17" s="136"/>
      <c r="L17" s="276"/>
      <c r="M17" s="279" t="s">
        <v>607</v>
      </c>
    </row>
    <row r="18" spans="1:13" ht="20.25">
      <c r="A18" s="15"/>
      <c r="B18" s="854" t="s">
        <v>5</v>
      </c>
      <c r="C18" s="854"/>
      <c r="D18" s="854"/>
      <c r="E18" s="854"/>
      <c r="F18" s="854"/>
      <c r="G18" s="854"/>
      <c r="H18" s="855"/>
      <c r="I18" s="855"/>
      <c r="J18" s="855"/>
      <c r="K18" s="135"/>
      <c r="L18" s="280"/>
      <c r="M18" s="281">
        <v>13129185</v>
      </c>
    </row>
    <row r="19" spans="1:13" ht="15.75">
      <c r="A19" s="850"/>
      <c r="B19" s="850"/>
      <c r="C19" s="850"/>
      <c r="D19" s="850"/>
      <c r="E19" s="850"/>
      <c r="F19" s="850"/>
      <c r="G19" s="850"/>
      <c r="H19" s="850"/>
      <c r="I19" s="850"/>
      <c r="J19" s="850"/>
      <c r="K19" s="850"/>
      <c r="L19" s="850"/>
      <c r="M19" s="850"/>
    </row>
    <row r="20" spans="1:13" ht="15.75">
      <c r="A20" s="850"/>
      <c r="B20" s="850"/>
      <c r="C20" s="850"/>
      <c r="D20" s="850"/>
      <c r="E20" s="850"/>
      <c r="F20" s="850"/>
      <c r="G20" s="850"/>
      <c r="H20" s="850"/>
      <c r="I20" s="850"/>
      <c r="J20" s="850"/>
      <c r="K20" s="850"/>
      <c r="L20" s="850"/>
      <c r="M20" s="850"/>
    </row>
    <row r="21" spans="1:13" ht="15.75">
      <c r="A21" s="850" t="s">
        <v>608</v>
      </c>
      <c r="B21" s="850"/>
      <c r="C21" s="850"/>
      <c r="D21" s="850"/>
      <c r="E21" s="850"/>
      <c r="F21" s="850"/>
      <c r="G21" s="850"/>
      <c r="H21" s="850"/>
      <c r="I21" s="850"/>
      <c r="J21" s="850"/>
      <c r="K21" s="850"/>
      <c r="L21" s="850"/>
      <c r="M21" s="850"/>
    </row>
    <row r="22" spans="1:13">
      <c r="A22" s="280"/>
      <c r="B22" s="851"/>
      <c r="C22" s="851"/>
      <c r="D22" s="851"/>
      <c r="E22" s="851"/>
      <c r="F22" s="851"/>
      <c r="G22" s="851"/>
      <c r="H22" s="851"/>
      <c r="I22" s="851"/>
      <c r="J22" s="851"/>
      <c r="K22" s="280"/>
      <c r="L22" s="280"/>
      <c r="M22" s="280"/>
    </row>
  </sheetData>
  <mergeCells count="44">
    <mergeCell ref="A5:M5"/>
    <mergeCell ref="A1:M1"/>
    <mergeCell ref="A2:M2"/>
    <mergeCell ref="A3:M3"/>
    <mergeCell ref="A4:M4"/>
    <mergeCell ref="A8:A17"/>
    <mergeCell ref="B8:C17"/>
    <mergeCell ref="D8:E8"/>
    <mergeCell ref="F8:G8"/>
    <mergeCell ref="H8:J8"/>
    <mergeCell ref="D9:E9"/>
    <mergeCell ref="F9:G9"/>
    <mergeCell ref="H9:J9"/>
    <mergeCell ref="D10:E17"/>
    <mergeCell ref="F10:G10"/>
    <mergeCell ref="H10:J10"/>
    <mergeCell ref="F11:G11"/>
    <mergeCell ref="H11:J11"/>
    <mergeCell ref="F12:G12"/>
    <mergeCell ref="H12:J12"/>
    <mergeCell ref="F13:G15"/>
    <mergeCell ref="A6:A7"/>
    <mergeCell ref="B6:G7"/>
    <mergeCell ref="H6:J6"/>
    <mergeCell ref="K6:K7"/>
    <mergeCell ref="H7:J7"/>
    <mergeCell ref="H13:J13"/>
    <mergeCell ref="K13:K15"/>
    <mergeCell ref="L13:L15"/>
    <mergeCell ref="M13:M15"/>
    <mergeCell ref="H14:J14"/>
    <mergeCell ref="F16:G16"/>
    <mergeCell ref="H16:J16"/>
    <mergeCell ref="F17:G17"/>
    <mergeCell ref="H17:J17"/>
    <mergeCell ref="B18:G18"/>
    <mergeCell ref="H18:J18"/>
    <mergeCell ref="A19:M19"/>
    <mergeCell ref="A20:M20"/>
    <mergeCell ref="A21:M21"/>
    <mergeCell ref="B22:C22"/>
    <mergeCell ref="D22:E22"/>
    <mergeCell ref="F22:G22"/>
    <mergeCell ref="H22:J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5D8B-F499-4298-8BAE-DA0482A58E20}">
  <dimension ref="A1:J14"/>
  <sheetViews>
    <sheetView workbookViewId="0">
      <selection activeCell="L5" sqref="L5"/>
    </sheetView>
  </sheetViews>
  <sheetFormatPr defaultRowHeight="15.75"/>
  <cols>
    <col min="1" max="1" width="5.140625" style="26" bestFit="1" customWidth="1"/>
    <col min="2" max="2" width="24.7109375" style="1" customWidth="1"/>
    <col min="3" max="3" width="20.140625" style="1" customWidth="1"/>
    <col min="4" max="4" width="57.5703125" style="1" customWidth="1"/>
    <col min="5" max="5" width="26.7109375" style="1" customWidth="1"/>
    <col min="6" max="6" width="13.7109375" style="1" customWidth="1"/>
    <col min="7" max="7" width="16.7109375" style="1" customWidth="1"/>
    <col min="8" max="8" width="16.140625" style="1" customWidth="1"/>
    <col min="9" max="9" width="25.42578125" style="1" customWidth="1"/>
    <col min="10" max="16384" width="9.140625" style="1"/>
  </cols>
  <sheetData>
    <row r="1" spans="1:10" ht="23.25" customHeight="1">
      <c r="A1" s="713" t="s">
        <v>609</v>
      </c>
      <c r="B1" s="713"/>
      <c r="C1" s="713"/>
      <c r="D1" s="713"/>
      <c r="E1" s="713"/>
      <c r="F1" s="713"/>
      <c r="G1" s="713"/>
      <c r="H1" s="713"/>
      <c r="I1" s="713"/>
    </row>
    <row r="2" spans="1:10" ht="18.75">
      <c r="A2" s="714" t="s">
        <v>847</v>
      </c>
      <c r="B2" s="715"/>
      <c r="C2" s="715"/>
      <c r="D2" s="715"/>
      <c r="E2" s="715"/>
      <c r="F2" s="715"/>
      <c r="G2" s="715"/>
      <c r="H2" s="715"/>
      <c r="I2" s="715"/>
    </row>
    <row r="3" spans="1:10" s="22" customFormat="1" ht="31.5">
      <c r="A3" s="18" t="s">
        <v>48</v>
      </c>
      <c r="B3" s="716" t="s">
        <v>2</v>
      </c>
      <c r="C3" s="717"/>
      <c r="D3" s="718"/>
      <c r="E3" s="20" t="s">
        <v>49</v>
      </c>
      <c r="F3" s="18" t="s">
        <v>50</v>
      </c>
      <c r="G3" s="20" t="s">
        <v>51</v>
      </c>
      <c r="H3" s="19" t="s">
        <v>52</v>
      </c>
      <c r="I3" s="21" t="s">
        <v>53</v>
      </c>
    </row>
    <row r="4" spans="1:10" s="4" customFormat="1" ht="127.5">
      <c r="A4" s="865">
        <v>4</v>
      </c>
      <c r="B4" s="866" t="s">
        <v>610</v>
      </c>
      <c r="C4" s="72" t="s">
        <v>138</v>
      </c>
      <c r="D4" s="72" t="s">
        <v>611</v>
      </c>
      <c r="E4" s="164" t="s">
        <v>612</v>
      </c>
      <c r="F4" s="165"/>
      <c r="G4" s="165"/>
      <c r="H4" s="166">
        <v>211</v>
      </c>
      <c r="I4" s="164" t="s">
        <v>613</v>
      </c>
    </row>
    <row r="5" spans="1:10" s="4" customFormat="1" ht="63.75">
      <c r="A5" s="865"/>
      <c r="B5" s="866"/>
      <c r="C5" s="866" t="s">
        <v>127</v>
      </c>
      <c r="D5" s="72" t="s">
        <v>95</v>
      </c>
      <c r="E5" s="164" t="s">
        <v>614</v>
      </c>
      <c r="F5" s="165"/>
      <c r="G5" s="165"/>
      <c r="H5" s="166">
        <v>58.73</v>
      </c>
      <c r="I5" s="164" t="s">
        <v>615</v>
      </c>
      <c r="J5" s="167"/>
    </row>
    <row r="6" spans="1:10" s="4" customFormat="1">
      <c r="A6" s="865"/>
      <c r="B6" s="866"/>
      <c r="C6" s="866"/>
      <c r="D6" s="72" t="s">
        <v>96</v>
      </c>
      <c r="E6" s="165"/>
      <c r="F6" s="165"/>
      <c r="G6" s="165"/>
      <c r="H6" s="166">
        <v>20</v>
      </c>
      <c r="I6" s="168"/>
    </row>
    <row r="7" spans="1:10" s="4" customFormat="1">
      <c r="A7" s="865"/>
      <c r="B7" s="866"/>
      <c r="C7" s="866"/>
      <c r="D7" s="72" t="s">
        <v>97</v>
      </c>
      <c r="E7" s="165"/>
      <c r="F7" s="165"/>
      <c r="G7" s="165"/>
      <c r="H7" s="166">
        <v>20</v>
      </c>
      <c r="I7" s="168"/>
    </row>
    <row r="8" spans="1:10" s="4" customFormat="1">
      <c r="A8" s="865"/>
      <c r="B8" s="866"/>
      <c r="C8" s="866"/>
      <c r="D8" s="72" t="s">
        <v>98</v>
      </c>
      <c r="E8" s="165"/>
      <c r="F8" s="165"/>
      <c r="G8" s="165"/>
      <c r="H8" s="166">
        <v>10</v>
      </c>
      <c r="I8" s="168"/>
    </row>
    <row r="9" spans="1:10" s="4" customFormat="1">
      <c r="A9" s="865"/>
      <c r="B9" s="866"/>
      <c r="C9" s="866"/>
      <c r="D9" s="72" t="s">
        <v>99</v>
      </c>
      <c r="E9" s="165"/>
      <c r="F9" s="165"/>
      <c r="G9" s="165"/>
      <c r="H9" s="166">
        <v>4</v>
      </c>
      <c r="I9" s="168"/>
    </row>
    <row r="10" spans="1:10" s="4" customFormat="1">
      <c r="A10" s="865"/>
      <c r="B10" s="866"/>
      <c r="C10" s="866"/>
      <c r="D10" s="72" t="s">
        <v>100</v>
      </c>
      <c r="E10" s="165"/>
      <c r="F10" s="165"/>
      <c r="G10" s="165"/>
      <c r="H10" s="166">
        <v>2</v>
      </c>
      <c r="I10" s="168"/>
    </row>
    <row r="11" spans="1:10" s="4" customFormat="1">
      <c r="A11" s="865"/>
      <c r="B11" s="866"/>
      <c r="C11" s="866"/>
      <c r="D11" s="72" t="s">
        <v>101</v>
      </c>
      <c r="E11" s="165"/>
      <c r="F11" s="165"/>
      <c r="G11" s="165"/>
      <c r="H11" s="166">
        <v>10</v>
      </c>
      <c r="I11" s="168"/>
    </row>
    <row r="12" spans="1:10" s="4" customFormat="1">
      <c r="A12" s="865"/>
      <c r="B12" s="866"/>
      <c r="C12" s="866"/>
      <c r="D12" s="72" t="s">
        <v>102</v>
      </c>
      <c r="E12" s="165"/>
      <c r="F12" s="165"/>
      <c r="G12" s="165"/>
      <c r="H12" s="166">
        <v>4</v>
      </c>
      <c r="I12" s="168"/>
    </row>
    <row r="13" spans="1:10">
      <c r="A13" s="16"/>
      <c r="B13" s="694" t="s">
        <v>90</v>
      </c>
      <c r="C13" s="694"/>
      <c r="D13" s="694"/>
      <c r="E13" s="24"/>
      <c r="F13" s="24"/>
      <c r="G13" s="24"/>
      <c r="H13" s="23">
        <f>SUM(H4:H12)</f>
        <v>339.73</v>
      </c>
      <c r="I13" s="24"/>
    </row>
    <row r="14" spans="1:10" s="17" customFormat="1">
      <c r="A14" s="667" t="s">
        <v>91</v>
      </c>
      <c r="B14" s="668"/>
      <c r="C14" s="668"/>
      <c r="D14" s="668"/>
      <c r="E14" s="668"/>
      <c r="F14" s="668"/>
      <c r="G14" s="668"/>
      <c r="H14" s="668"/>
      <c r="I14" s="669"/>
    </row>
  </sheetData>
  <mergeCells count="8">
    <mergeCell ref="B13:D13"/>
    <mergeCell ref="A14:I14"/>
    <mergeCell ref="A1:I1"/>
    <mergeCell ref="A2:I2"/>
    <mergeCell ref="B3:D3"/>
    <mergeCell ref="A4:A12"/>
    <mergeCell ref="B4:B12"/>
    <mergeCell ref="C5:C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927D-B684-4F41-8217-0A7B91776A5C}">
  <dimension ref="A1:Z910"/>
  <sheetViews>
    <sheetView workbookViewId="0">
      <selection activeCell="J19" sqref="J19"/>
    </sheetView>
  </sheetViews>
  <sheetFormatPr defaultColWidth="12.42578125" defaultRowHeight="15"/>
  <cols>
    <col min="1" max="1" width="5.140625" style="1" customWidth="1"/>
    <col min="2" max="2" width="32.140625" style="1" customWidth="1"/>
    <col min="3" max="3" width="20.140625" style="1" customWidth="1"/>
    <col min="4" max="4" width="5.85546875" style="1" customWidth="1"/>
    <col min="5" max="5" width="40.42578125" style="1" customWidth="1"/>
    <col min="6" max="6" width="13.7109375" style="1" customWidth="1"/>
    <col min="7" max="7" width="16.7109375" style="1" customWidth="1"/>
    <col min="8" max="8" width="16.140625" style="1" customWidth="1"/>
    <col min="9" max="9" width="40.7109375" style="1" customWidth="1"/>
    <col min="10" max="10" width="37.5703125" style="1" customWidth="1"/>
    <col min="11" max="26" width="7.42578125" style="1" customWidth="1"/>
    <col min="27" max="16384" width="12.42578125" style="1"/>
  </cols>
  <sheetData>
    <row r="1" spans="1:26" ht="56.25" customHeight="1">
      <c r="A1" s="877" t="s">
        <v>778</v>
      </c>
      <c r="B1" s="874"/>
      <c r="C1" s="874"/>
      <c r="D1" s="874"/>
      <c r="E1" s="874"/>
      <c r="F1" s="874"/>
      <c r="G1" s="874"/>
      <c r="H1" s="874"/>
      <c r="I1" s="875"/>
    </row>
    <row r="2" spans="1:26" ht="19.5" customHeight="1">
      <c r="A2" s="878" t="s">
        <v>428</v>
      </c>
      <c r="B2" s="874"/>
      <c r="C2" s="874"/>
      <c r="D2" s="874"/>
      <c r="E2" s="874"/>
      <c r="F2" s="874"/>
      <c r="G2" s="874"/>
      <c r="H2" s="874"/>
      <c r="I2" s="875"/>
    </row>
    <row r="3" spans="1:26" ht="34.5" customHeight="1">
      <c r="A3" s="286" t="s">
        <v>48</v>
      </c>
      <c r="B3" s="879" t="s">
        <v>2</v>
      </c>
      <c r="C3" s="874"/>
      <c r="D3" s="875"/>
      <c r="E3" s="287" t="s">
        <v>779</v>
      </c>
      <c r="F3" s="286" t="s">
        <v>780</v>
      </c>
      <c r="G3" s="287" t="s">
        <v>781</v>
      </c>
      <c r="H3" s="286" t="s">
        <v>52</v>
      </c>
      <c r="I3" s="288" t="s">
        <v>53</v>
      </c>
      <c r="J3" s="289"/>
      <c r="K3" s="289"/>
      <c r="L3" s="289"/>
      <c r="M3" s="289"/>
      <c r="N3" s="289"/>
      <c r="O3" s="289"/>
      <c r="P3" s="289"/>
      <c r="Q3" s="289"/>
      <c r="R3" s="289"/>
      <c r="S3" s="289"/>
      <c r="T3" s="289"/>
      <c r="U3" s="289"/>
      <c r="V3" s="289"/>
      <c r="W3" s="289"/>
      <c r="X3" s="289"/>
      <c r="Y3" s="289"/>
      <c r="Z3" s="289"/>
    </row>
    <row r="4" spans="1:26" ht="15.75" customHeight="1">
      <c r="A4" s="880">
        <v>17</v>
      </c>
      <c r="B4" s="883" t="s">
        <v>37</v>
      </c>
      <c r="C4" s="867" t="s">
        <v>782</v>
      </c>
      <c r="D4" s="868"/>
      <c r="E4" s="290" t="s">
        <v>616</v>
      </c>
      <c r="F4" s="291">
        <v>1</v>
      </c>
      <c r="G4" s="291">
        <v>2.5</v>
      </c>
      <c r="H4" s="291">
        <f t="shared" ref="H4:H18" si="0">F4*G4</f>
        <v>2.5</v>
      </c>
      <c r="I4" s="292" t="s">
        <v>617</v>
      </c>
      <c r="J4" s="293"/>
      <c r="K4" s="293"/>
      <c r="L4" s="293"/>
      <c r="M4" s="293"/>
      <c r="N4" s="293"/>
      <c r="O4" s="293"/>
      <c r="P4" s="293"/>
      <c r="Q4" s="293"/>
      <c r="R4" s="293"/>
      <c r="S4" s="293"/>
      <c r="T4" s="293"/>
      <c r="U4" s="293"/>
      <c r="V4" s="293"/>
      <c r="W4" s="293"/>
      <c r="X4" s="293"/>
      <c r="Y4" s="293"/>
      <c r="Z4" s="293"/>
    </row>
    <row r="5" spans="1:26" ht="15.75" customHeight="1">
      <c r="A5" s="881"/>
      <c r="B5" s="881"/>
      <c r="C5" s="869"/>
      <c r="D5" s="870"/>
      <c r="E5" s="292" t="s">
        <v>618</v>
      </c>
      <c r="F5" s="291">
        <v>1</v>
      </c>
      <c r="G5" s="291">
        <v>0.2</v>
      </c>
      <c r="H5" s="291">
        <f t="shared" si="0"/>
        <v>0.2</v>
      </c>
      <c r="I5" s="292" t="s">
        <v>619</v>
      </c>
      <c r="J5" s="293"/>
      <c r="K5" s="293"/>
      <c r="L5" s="293"/>
      <c r="M5" s="293"/>
      <c r="N5" s="293"/>
      <c r="O5" s="293"/>
      <c r="P5" s="293"/>
      <c r="Q5" s="293"/>
      <c r="R5" s="293"/>
      <c r="S5" s="293"/>
      <c r="T5" s="293"/>
      <c r="U5" s="293"/>
      <c r="V5" s="293"/>
      <c r="W5" s="293"/>
      <c r="X5" s="293"/>
      <c r="Y5" s="293"/>
      <c r="Z5" s="293"/>
    </row>
    <row r="6" spans="1:26" ht="15.75" customHeight="1">
      <c r="A6" s="881"/>
      <c r="B6" s="881"/>
      <c r="C6" s="869"/>
      <c r="D6" s="870"/>
      <c r="E6" s="290" t="s">
        <v>620</v>
      </c>
      <c r="F6" s="291">
        <v>1</v>
      </c>
      <c r="G6" s="291">
        <v>0.25</v>
      </c>
      <c r="H6" s="291">
        <f t="shared" si="0"/>
        <v>0.25</v>
      </c>
      <c r="I6" s="292" t="s">
        <v>621</v>
      </c>
      <c r="J6" s="293"/>
      <c r="K6" s="293"/>
      <c r="L6" s="293"/>
      <c r="M6" s="293"/>
      <c r="N6" s="293"/>
      <c r="O6" s="293"/>
      <c r="P6" s="293"/>
      <c r="Q6" s="293"/>
      <c r="R6" s="293"/>
      <c r="S6" s="293"/>
      <c r="T6" s="293"/>
      <c r="U6" s="293"/>
      <c r="V6" s="293"/>
      <c r="W6" s="293"/>
      <c r="X6" s="293"/>
      <c r="Y6" s="293"/>
      <c r="Z6" s="293"/>
    </row>
    <row r="7" spans="1:26" ht="15.75" customHeight="1">
      <c r="A7" s="881"/>
      <c r="B7" s="881"/>
      <c r="C7" s="869"/>
      <c r="D7" s="870"/>
      <c r="E7" s="290" t="s">
        <v>622</v>
      </c>
      <c r="F7" s="291">
        <v>1</v>
      </c>
      <c r="G7" s="291">
        <v>0.25</v>
      </c>
      <c r="H7" s="291">
        <f t="shared" si="0"/>
        <v>0.25</v>
      </c>
      <c r="I7" s="292" t="s">
        <v>621</v>
      </c>
      <c r="J7" s="293"/>
      <c r="K7" s="293"/>
      <c r="L7" s="293"/>
      <c r="M7" s="293"/>
      <c r="N7" s="293"/>
      <c r="O7" s="293"/>
      <c r="P7" s="293"/>
      <c r="Q7" s="293"/>
      <c r="R7" s="293"/>
      <c r="S7" s="293"/>
      <c r="T7" s="293"/>
      <c r="U7" s="293"/>
      <c r="V7" s="293"/>
      <c r="W7" s="293"/>
      <c r="X7" s="293"/>
      <c r="Y7" s="293"/>
      <c r="Z7" s="293"/>
    </row>
    <row r="8" spans="1:26" ht="15.75" customHeight="1">
      <c r="A8" s="881"/>
      <c r="B8" s="881"/>
      <c r="C8" s="869"/>
      <c r="D8" s="870"/>
      <c r="E8" s="290" t="s">
        <v>623</v>
      </c>
      <c r="F8" s="291">
        <v>1</v>
      </c>
      <c r="G8" s="291">
        <v>0.35</v>
      </c>
      <c r="H8" s="291">
        <f t="shared" si="0"/>
        <v>0.35</v>
      </c>
      <c r="I8" s="292" t="s">
        <v>624</v>
      </c>
      <c r="J8" s="293"/>
      <c r="K8" s="293"/>
      <c r="L8" s="293"/>
      <c r="M8" s="293"/>
      <c r="N8" s="293"/>
      <c r="O8" s="293"/>
      <c r="P8" s="293"/>
      <c r="Q8" s="293"/>
      <c r="R8" s="293"/>
      <c r="S8" s="293"/>
      <c r="T8" s="293"/>
      <c r="U8" s="293"/>
      <c r="V8" s="293"/>
      <c r="W8" s="293"/>
      <c r="X8" s="293"/>
      <c r="Y8" s="293"/>
      <c r="Z8" s="293"/>
    </row>
    <row r="9" spans="1:26" ht="15.75" customHeight="1">
      <c r="A9" s="881"/>
      <c r="B9" s="881"/>
      <c r="C9" s="869"/>
      <c r="D9" s="870"/>
      <c r="E9" s="290" t="s">
        <v>625</v>
      </c>
      <c r="F9" s="291">
        <v>1</v>
      </c>
      <c r="G9" s="291">
        <v>0.25</v>
      </c>
      <c r="H9" s="291">
        <f t="shared" si="0"/>
        <v>0.25</v>
      </c>
      <c r="I9" s="292" t="s">
        <v>621</v>
      </c>
      <c r="J9" s="293"/>
      <c r="K9" s="293"/>
      <c r="L9" s="293"/>
      <c r="M9" s="293"/>
      <c r="N9" s="293"/>
      <c r="O9" s="293"/>
      <c r="P9" s="293"/>
      <c r="Q9" s="293"/>
      <c r="R9" s="293"/>
      <c r="S9" s="293"/>
      <c r="T9" s="293"/>
      <c r="U9" s="293"/>
      <c r="V9" s="293"/>
      <c r="W9" s="293"/>
      <c r="X9" s="293"/>
      <c r="Y9" s="293"/>
      <c r="Z9" s="293"/>
    </row>
    <row r="10" spans="1:26" ht="15.75" customHeight="1">
      <c r="A10" s="881"/>
      <c r="B10" s="881"/>
      <c r="C10" s="869"/>
      <c r="D10" s="870"/>
      <c r="E10" s="290" t="s">
        <v>626</v>
      </c>
      <c r="F10" s="291">
        <v>1</v>
      </c>
      <c r="G10" s="291">
        <v>0.2</v>
      </c>
      <c r="H10" s="291">
        <f t="shared" si="0"/>
        <v>0.2</v>
      </c>
      <c r="I10" s="292" t="s">
        <v>627</v>
      </c>
      <c r="J10" s="293"/>
      <c r="K10" s="293"/>
      <c r="L10" s="293"/>
      <c r="M10" s="293"/>
      <c r="N10" s="293"/>
      <c r="O10" s="293"/>
      <c r="P10" s="293"/>
      <c r="Q10" s="293"/>
      <c r="R10" s="293"/>
      <c r="S10" s="293"/>
      <c r="T10" s="293"/>
      <c r="U10" s="293"/>
      <c r="V10" s="293"/>
      <c r="W10" s="293"/>
      <c r="X10" s="293"/>
      <c r="Y10" s="293"/>
      <c r="Z10" s="293"/>
    </row>
    <row r="11" spans="1:26" ht="15.75" customHeight="1">
      <c r="A11" s="881"/>
      <c r="B11" s="881"/>
      <c r="C11" s="869"/>
      <c r="D11" s="870"/>
      <c r="E11" s="294" t="s">
        <v>628</v>
      </c>
      <c r="F11" s="291">
        <v>1</v>
      </c>
      <c r="G11" s="291">
        <v>2</v>
      </c>
      <c r="H11" s="291">
        <f t="shared" si="0"/>
        <v>2</v>
      </c>
      <c r="I11" s="292" t="s">
        <v>629</v>
      </c>
      <c r="J11" s="293"/>
      <c r="K11" s="293"/>
      <c r="L11" s="293"/>
      <c r="M11" s="293"/>
      <c r="N11" s="293"/>
      <c r="O11" s="293"/>
      <c r="P11" s="293"/>
      <c r="Q11" s="293"/>
      <c r="R11" s="293"/>
      <c r="S11" s="293"/>
      <c r="T11" s="293"/>
      <c r="U11" s="293"/>
      <c r="V11" s="293"/>
      <c r="W11" s="293"/>
      <c r="X11" s="293"/>
      <c r="Y11" s="293"/>
      <c r="Z11" s="293"/>
    </row>
    <row r="12" spans="1:26" ht="15.75" customHeight="1">
      <c r="A12" s="881"/>
      <c r="B12" s="881"/>
      <c r="C12" s="869"/>
      <c r="D12" s="870"/>
      <c r="E12" s="295" t="s">
        <v>630</v>
      </c>
      <c r="F12" s="291">
        <v>1</v>
      </c>
      <c r="G12" s="291">
        <v>1</v>
      </c>
      <c r="H12" s="291">
        <f t="shared" si="0"/>
        <v>1</v>
      </c>
      <c r="I12" s="292" t="s">
        <v>631</v>
      </c>
      <c r="J12" s="293"/>
      <c r="K12" s="293"/>
      <c r="L12" s="293"/>
      <c r="M12" s="293"/>
      <c r="N12" s="293"/>
      <c r="O12" s="293"/>
      <c r="P12" s="293"/>
      <c r="Q12" s="293"/>
      <c r="R12" s="293"/>
      <c r="S12" s="293"/>
      <c r="T12" s="293"/>
      <c r="U12" s="293"/>
      <c r="V12" s="293"/>
      <c r="W12" s="293"/>
      <c r="X12" s="293"/>
      <c r="Y12" s="293"/>
      <c r="Z12" s="293"/>
    </row>
    <row r="13" spans="1:26" ht="15.75" customHeight="1">
      <c r="A13" s="881"/>
      <c r="B13" s="881"/>
      <c r="C13" s="869"/>
      <c r="D13" s="870"/>
      <c r="E13" s="295" t="s">
        <v>511</v>
      </c>
      <c r="F13" s="291">
        <v>2</v>
      </c>
      <c r="G13" s="291">
        <v>0.25</v>
      </c>
      <c r="H13" s="291">
        <f t="shared" si="0"/>
        <v>0.5</v>
      </c>
      <c r="I13" s="292" t="s">
        <v>632</v>
      </c>
      <c r="J13" s="293"/>
      <c r="K13" s="293"/>
      <c r="L13" s="293"/>
      <c r="M13" s="293"/>
      <c r="N13" s="293"/>
      <c r="O13" s="293"/>
      <c r="P13" s="293"/>
      <c r="Q13" s="293"/>
      <c r="R13" s="293"/>
      <c r="S13" s="293"/>
      <c r="T13" s="293"/>
      <c r="U13" s="293"/>
      <c r="V13" s="293"/>
      <c r="W13" s="293"/>
      <c r="X13" s="293"/>
      <c r="Y13" s="293"/>
      <c r="Z13" s="293"/>
    </row>
    <row r="14" spans="1:26" ht="15.75" customHeight="1">
      <c r="A14" s="881"/>
      <c r="B14" s="881"/>
      <c r="C14" s="871"/>
      <c r="D14" s="872"/>
      <c r="E14" s="295" t="s">
        <v>633</v>
      </c>
      <c r="F14" s="291">
        <v>1</v>
      </c>
      <c r="G14" s="291">
        <v>0.6</v>
      </c>
      <c r="H14" s="291">
        <f t="shared" si="0"/>
        <v>0.6</v>
      </c>
      <c r="I14" s="292" t="s">
        <v>633</v>
      </c>
      <c r="J14" s="293"/>
      <c r="K14" s="293"/>
      <c r="L14" s="293"/>
      <c r="M14" s="293"/>
      <c r="N14" s="293"/>
      <c r="O14" s="293"/>
      <c r="P14" s="293"/>
      <c r="Q14" s="293"/>
      <c r="R14" s="293"/>
      <c r="S14" s="293"/>
      <c r="T14" s="293"/>
      <c r="U14" s="293"/>
      <c r="V14" s="293"/>
      <c r="W14" s="293"/>
      <c r="X14" s="293"/>
      <c r="Y14" s="293"/>
      <c r="Z14" s="293"/>
    </row>
    <row r="15" spans="1:26" ht="15.75" customHeight="1">
      <c r="A15" s="881"/>
      <c r="B15" s="881"/>
      <c r="C15" s="867" t="s">
        <v>783</v>
      </c>
      <c r="D15" s="868"/>
      <c r="E15" s="290" t="s">
        <v>634</v>
      </c>
      <c r="F15" s="291">
        <v>4</v>
      </c>
      <c r="G15" s="291">
        <v>0.25</v>
      </c>
      <c r="H15" s="291">
        <f t="shared" si="0"/>
        <v>1</v>
      </c>
      <c r="I15" s="292" t="s">
        <v>635</v>
      </c>
      <c r="J15" s="296"/>
      <c r="K15" s="293"/>
      <c r="L15" s="293"/>
      <c r="M15" s="293"/>
      <c r="N15" s="293"/>
      <c r="O15" s="293"/>
      <c r="P15" s="293"/>
      <c r="Q15" s="293"/>
      <c r="R15" s="293"/>
      <c r="S15" s="293"/>
      <c r="T15" s="293"/>
      <c r="U15" s="293"/>
      <c r="V15" s="293"/>
      <c r="W15" s="293"/>
      <c r="X15" s="293"/>
      <c r="Y15" s="293"/>
      <c r="Z15" s="293"/>
    </row>
    <row r="16" spans="1:26" ht="15.75" customHeight="1">
      <c r="A16" s="881"/>
      <c r="B16" s="881"/>
      <c r="C16" s="869"/>
      <c r="D16" s="870"/>
      <c r="E16" s="290" t="s">
        <v>636</v>
      </c>
      <c r="F16" s="291">
        <v>12</v>
      </c>
      <c r="G16" s="291">
        <v>0.1</v>
      </c>
      <c r="H16" s="291">
        <f t="shared" si="0"/>
        <v>1.2000000000000002</v>
      </c>
      <c r="I16" s="292" t="s">
        <v>637</v>
      </c>
      <c r="J16" s="293"/>
      <c r="K16" s="293"/>
      <c r="L16" s="293"/>
      <c r="M16" s="293"/>
      <c r="N16" s="293"/>
      <c r="O16" s="293"/>
      <c r="P16" s="293"/>
      <c r="Q16" s="293"/>
      <c r="R16" s="293"/>
      <c r="S16" s="293"/>
      <c r="T16" s="293"/>
      <c r="U16" s="293"/>
      <c r="V16" s="293"/>
      <c r="W16" s="293"/>
      <c r="X16" s="293"/>
      <c r="Y16" s="293"/>
      <c r="Z16" s="293"/>
    </row>
    <row r="17" spans="1:26" ht="15.75" customHeight="1">
      <c r="A17" s="881"/>
      <c r="B17" s="881"/>
      <c r="C17" s="869"/>
      <c r="D17" s="870"/>
      <c r="E17" s="290" t="s">
        <v>638</v>
      </c>
      <c r="F17" s="291">
        <v>12</v>
      </c>
      <c r="G17" s="291">
        <v>0.1</v>
      </c>
      <c r="H17" s="291">
        <f t="shared" si="0"/>
        <v>1.2000000000000002</v>
      </c>
      <c r="I17" s="292" t="s">
        <v>639</v>
      </c>
      <c r="J17" s="293"/>
      <c r="K17" s="293"/>
      <c r="L17" s="293"/>
      <c r="M17" s="293"/>
      <c r="N17" s="293"/>
      <c r="O17" s="293"/>
      <c r="P17" s="293"/>
      <c r="Q17" s="293"/>
      <c r="R17" s="293"/>
      <c r="S17" s="293"/>
      <c r="T17" s="293"/>
      <c r="U17" s="293"/>
      <c r="V17" s="293"/>
      <c r="W17" s="293"/>
      <c r="X17" s="293"/>
      <c r="Y17" s="293"/>
      <c r="Z17" s="293"/>
    </row>
    <row r="18" spans="1:26" ht="15.75" customHeight="1">
      <c r="A18" s="881"/>
      <c r="B18" s="881"/>
      <c r="C18" s="869"/>
      <c r="D18" s="870"/>
      <c r="E18" s="290" t="s">
        <v>640</v>
      </c>
      <c r="F18" s="291">
        <v>4</v>
      </c>
      <c r="G18" s="291">
        <v>0.25</v>
      </c>
      <c r="H18" s="291">
        <f t="shared" si="0"/>
        <v>1</v>
      </c>
      <c r="I18" s="292" t="s">
        <v>641</v>
      </c>
      <c r="J18" s="293"/>
      <c r="K18" s="293"/>
      <c r="L18" s="293"/>
      <c r="M18" s="293"/>
      <c r="N18" s="293"/>
      <c r="O18" s="293"/>
      <c r="P18" s="293"/>
      <c r="Q18" s="293"/>
      <c r="R18" s="293"/>
      <c r="S18" s="293"/>
      <c r="T18" s="293"/>
      <c r="U18" s="293"/>
      <c r="V18" s="293"/>
      <c r="W18" s="293"/>
      <c r="X18" s="293"/>
      <c r="Y18" s="293"/>
      <c r="Z18" s="293"/>
    </row>
    <row r="19" spans="1:26" ht="15.75" customHeight="1">
      <c r="A19" s="882"/>
      <c r="B19" s="882"/>
      <c r="C19" s="871"/>
      <c r="D19" s="872"/>
      <c r="E19" s="297"/>
      <c r="F19" s="298"/>
      <c r="G19" s="299"/>
      <c r="H19" s="291"/>
      <c r="I19" s="292"/>
      <c r="J19" s="293"/>
      <c r="K19" s="293"/>
      <c r="L19" s="293"/>
      <c r="M19" s="293"/>
      <c r="N19" s="293"/>
      <c r="O19" s="293"/>
      <c r="P19" s="293"/>
      <c r="Q19" s="293"/>
      <c r="R19" s="293"/>
      <c r="S19" s="293"/>
      <c r="T19" s="293"/>
      <c r="U19" s="293"/>
      <c r="V19" s="293"/>
      <c r="W19" s="293"/>
      <c r="X19" s="293"/>
      <c r="Y19" s="293"/>
      <c r="Z19" s="293"/>
    </row>
    <row r="20" spans="1:26" ht="15.75" customHeight="1">
      <c r="A20" s="300"/>
      <c r="B20" s="873" t="s">
        <v>784</v>
      </c>
      <c r="C20" s="874"/>
      <c r="D20" s="875"/>
      <c r="E20" s="301"/>
      <c r="F20" s="302"/>
      <c r="G20" s="302"/>
      <c r="H20" s="302">
        <f>SUM(H4:H19)</f>
        <v>12.5</v>
      </c>
      <c r="I20" s="301"/>
    </row>
    <row r="21" spans="1:26" ht="42" customHeight="1">
      <c r="A21" s="876" t="s">
        <v>91</v>
      </c>
      <c r="B21" s="874"/>
      <c r="C21" s="874"/>
      <c r="D21" s="874"/>
      <c r="E21" s="874"/>
      <c r="F21" s="874"/>
      <c r="G21" s="874"/>
      <c r="H21" s="874"/>
      <c r="I21" s="875"/>
      <c r="J21" s="303"/>
      <c r="K21" s="303"/>
      <c r="L21" s="303"/>
      <c r="M21" s="303"/>
      <c r="N21" s="303"/>
      <c r="O21" s="303"/>
      <c r="P21" s="303"/>
      <c r="Q21" s="303"/>
      <c r="R21" s="303"/>
      <c r="S21" s="303"/>
      <c r="T21" s="303"/>
      <c r="U21" s="303"/>
      <c r="V21" s="303"/>
      <c r="W21" s="303"/>
      <c r="X21" s="303"/>
      <c r="Y21" s="303"/>
      <c r="Z21" s="303"/>
    </row>
    <row r="22" spans="1:26" ht="15.75" customHeight="1">
      <c r="A22" s="304"/>
      <c r="B22" s="305"/>
      <c r="F22" s="306"/>
      <c r="G22" s="306"/>
      <c r="H22" s="306"/>
    </row>
    <row r="23" spans="1:26" ht="15.75" customHeight="1">
      <c r="A23" s="304"/>
      <c r="B23" s="305"/>
      <c r="F23" s="306"/>
      <c r="G23" s="306"/>
      <c r="H23" s="306"/>
    </row>
    <row r="24" spans="1:26" ht="15.75" customHeight="1">
      <c r="A24" s="304"/>
      <c r="B24" s="305"/>
      <c r="F24" s="306"/>
      <c r="G24" s="306"/>
      <c r="H24" s="306"/>
    </row>
    <row r="25" spans="1:26" ht="15.75" customHeight="1">
      <c r="A25" s="304"/>
      <c r="B25" s="305"/>
      <c r="F25" s="306"/>
      <c r="G25" s="306"/>
      <c r="H25" s="306"/>
    </row>
    <row r="26" spans="1:26" ht="15.75" customHeight="1">
      <c r="A26" s="304"/>
      <c r="B26" s="305"/>
      <c r="F26" s="306"/>
      <c r="G26" s="306"/>
      <c r="H26" s="306"/>
    </row>
    <row r="27" spans="1:26" ht="15.75" customHeight="1">
      <c r="A27" s="304"/>
      <c r="B27" s="305"/>
      <c r="F27" s="306"/>
      <c r="G27" s="306"/>
      <c r="H27" s="306"/>
    </row>
    <row r="28" spans="1:26" ht="15.75" customHeight="1">
      <c r="A28" s="304"/>
      <c r="B28" s="305"/>
      <c r="F28" s="306"/>
      <c r="G28" s="306"/>
      <c r="H28" s="306"/>
    </row>
    <row r="29" spans="1:26" ht="15.75" customHeight="1">
      <c r="A29" s="304"/>
      <c r="B29" s="305"/>
      <c r="F29" s="306"/>
      <c r="G29" s="306"/>
      <c r="H29" s="306"/>
    </row>
    <row r="30" spans="1:26" ht="15.75" customHeight="1">
      <c r="A30" s="304"/>
      <c r="B30" s="305"/>
      <c r="F30" s="306"/>
      <c r="G30" s="306"/>
      <c r="H30" s="306"/>
    </row>
    <row r="31" spans="1:26" ht="15.75" customHeight="1">
      <c r="A31" s="304"/>
      <c r="B31" s="305"/>
      <c r="F31" s="306"/>
      <c r="G31" s="306"/>
      <c r="H31" s="306"/>
    </row>
    <row r="32" spans="1:26" ht="15.75" customHeight="1">
      <c r="A32" s="304"/>
      <c r="B32" s="305"/>
      <c r="F32" s="306"/>
      <c r="G32" s="306"/>
      <c r="H32" s="306"/>
    </row>
    <row r="33" spans="1:8" ht="15.75" customHeight="1">
      <c r="A33" s="304"/>
      <c r="B33" s="305"/>
      <c r="F33" s="306"/>
      <c r="G33" s="306"/>
      <c r="H33" s="306"/>
    </row>
    <row r="34" spans="1:8" ht="15.75" customHeight="1">
      <c r="A34" s="304"/>
      <c r="B34" s="305"/>
      <c r="F34" s="306"/>
      <c r="G34" s="306"/>
      <c r="H34" s="306"/>
    </row>
    <row r="35" spans="1:8" ht="15.75" customHeight="1">
      <c r="A35" s="304"/>
      <c r="B35" s="305"/>
      <c r="F35" s="306"/>
      <c r="G35" s="306"/>
      <c r="H35" s="306"/>
    </row>
    <row r="36" spans="1:8" ht="15.75" customHeight="1">
      <c r="A36" s="304"/>
      <c r="B36" s="305"/>
      <c r="F36" s="306"/>
      <c r="G36" s="306"/>
      <c r="H36" s="306"/>
    </row>
    <row r="37" spans="1:8" ht="15.75" customHeight="1">
      <c r="A37" s="304"/>
      <c r="B37" s="305"/>
      <c r="F37" s="306"/>
      <c r="G37" s="306"/>
      <c r="H37" s="306"/>
    </row>
    <row r="38" spans="1:8" ht="15.75" customHeight="1">
      <c r="A38" s="304"/>
      <c r="B38" s="305"/>
      <c r="F38" s="306"/>
      <c r="G38" s="306"/>
      <c r="H38" s="306"/>
    </row>
    <row r="39" spans="1:8" ht="15.75" customHeight="1">
      <c r="A39" s="304"/>
      <c r="B39" s="305"/>
      <c r="F39" s="306"/>
      <c r="G39" s="306"/>
      <c r="H39" s="306"/>
    </row>
    <row r="40" spans="1:8" ht="15.75" customHeight="1">
      <c r="A40" s="304"/>
      <c r="B40" s="305"/>
      <c r="F40" s="306"/>
      <c r="G40" s="306"/>
      <c r="H40" s="306"/>
    </row>
    <row r="41" spans="1:8" ht="15.75" customHeight="1">
      <c r="A41" s="304"/>
      <c r="B41" s="305"/>
      <c r="F41" s="306"/>
      <c r="G41" s="306"/>
      <c r="H41" s="306"/>
    </row>
    <row r="42" spans="1:8" ht="15.75" customHeight="1">
      <c r="A42" s="304"/>
      <c r="B42" s="305"/>
      <c r="F42" s="306"/>
      <c r="G42" s="306"/>
      <c r="H42" s="306"/>
    </row>
    <row r="43" spans="1:8" ht="15.75" customHeight="1">
      <c r="A43" s="304"/>
      <c r="B43" s="305"/>
      <c r="F43" s="306"/>
      <c r="G43" s="306"/>
      <c r="H43" s="306"/>
    </row>
    <row r="44" spans="1:8" ht="15.75" customHeight="1">
      <c r="A44" s="304"/>
      <c r="B44" s="305"/>
      <c r="F44" s="306"/>
      <c r="G44" s="306"/>
      <c r="H44" s="306"/>
    </row>
    <row r="45" spans="1:8" ht="15.75" customHeight="1">
      <c r="A45" s="304"/>
      <c r="B45" s="305"/>
      <c r="F45" s="306"/>
      <c r="G45" s="306"/>
      <c r="H45" s="306"/>
    </row>
    <row r="46" spans="1:8" ht="15.75" customHeight="1">
      <c r="A46" s="304"/>
      <c r="B46" s="305"/>
      <c r="F46" s="306"/>
      <c r="G46" s="306"/>
      <c r="H46" s="306"/>
    </row>
    <row r="47" spans="1:8" ht="15.75" customHeight="1">
      <c r="A47" s="304"/>
      <c r="B47" s="305"/>
      <c r="F47" s="306"/>
      <c r="G47" s="306"/>
      <c r="H47" s="306"/>
    </row>
    <row r="48" spans="1:8" ht="15.75" customHeight="1">
      <c r="A48" s="304"/>
      <c r="B48" s="305"/>
      <c r="F48" s="306"/>
      <c r="G48" s="306"/>
      <c r="H48" s="306"/>
    </row>
    <row r="49" spans="1:8" ht="15.75" customHeight="1">
      <c r="A49" s="304"/>
      <c r="B49" s="305"/>
      <c r="F49" s="306"/>
      <c r="G49" s="306"/>
      <c r="H49" s="306"/>
    </row>
    <row r="50" spans="1:8" ht="15.75" customHeight="1">
      <c r="A50" s="304"/>
      <c r="B50" s="305"/>
      <c r="F50" s="306"/>
      <c r="G50" s="306"/>
      <c r="H50" s="306"/>
    </row>
    <row r="51" spans="1:8" ht="15.75" customHeight="1">
      <c r="A51" s="304"/>
      <c r="B51" s="305"/>
      <c r="F51" s="306"/>
      <c r="G51" s="306"/>
      <c r="H51" s="306"/>
    </row>
    <row r="52" spans="1:8" ht="15.75" customHeight="1">
      <c r="A52" s="304"/>
      <c r="B52" s="305"/>
      <c r="F52" s="306"/>
      <c r="G52" s="306"/>
      <c r="H52" s="306"/>
    </row>
    <row r="53" spans="1:8" ht="15.75" customHeight="1">
      <c r="A53" s="304"/>
      <c r="B53" s="305"/>
      <c r="F53" s="306"/>
      <c r="G53" s="306"/>
      <c r="H53" s="306"/>
    </row>
    <row r="54" spans="1:8" ht="15.75" customHeight="1">
      <c r="A54" s="304"/>
      <c r="B54" s="305"/>
      <c r="F54" s="306"/>
      <c r="G54" s="306"/>
      <c r="H54" s="306"/>
    </row>
    <row r="55" spans="1:8" ht="15.75" customHeight="1">
      <c r="A55" s="304"/>
      <c r="B55" s="305"/>
      <c r="F55" s="306"/>
      <c r="G55" s="306"/>
      <c r="H55" s="306"/>
    </row>
    <row r="56" spans="1:8" ht="15.75" customHeight="1">
      <c r="A56" s="304"/>
      <c r="B56" s="305"/>
      <c r="F56" s="306"/>
      <c r="G56" s="306"/>
      <c r="H56" s="306"/>
    </row>
    <row r="57" spans="1:8" ht="15.75" customHeight="1">
      <c r="A57" s="304"/>
      <c r="B57" s="305"/>
      <c r="F57" s="306"/>
      <c r="G57" s="306"/>
      <c r="H57" s="306"/>
    </row>
    <row r="58" spans="1:8" ht="15.75" customHeight="1">
      <c r="A58" s="304"/>
      <c r="B58" s="305"/>
      <c r="F58" s="306"/>
      <c r="G58" s="306"/>
      <c r="H58" s="306"/>
    </row>
    <row r="59" spans="1:8" ht="15.75" customHeight="1">
      <c r="A59" s="304"/>
      <c r="B59" s="305"/>
      <c r="F59" s="306"/>
      <c r="G59" s="306"/>
      <c r="H59" s="306"/>
    </row>
    <row r="60" spans="1:8" ht="15.75" customHeight="1">
      <c r="A60" s="304"/>
      <c r="B60" s="305"/>
      <c r="F60" s="306"/>
      <c r="G60" s="306"/>
      <c r="H60" s="306"/>
    </row>
    <row r="61" spans="1:8" ht="15.75" customHeight="1">
      <c r="A61" s="304"/>
      <c r="B61" s="305"/>
      <c r="F61" s="306"/>
      <c r="G61" s="306"/>
      <c r="H61" s="306"/>
    </row>
    <row r="62" spans="1:8" ht="15.75" customHeight="1">
      <c r="A62" s="304"/>
      <c r="B62" s="305"/>
      <c r="F62" s="306"/>
      <c r="G62" s="306"/>
      <c r="H62" s="306"/>
    </row>
    <row r="63" spans="1:8" ht="15.75" customHeight="1">
      <c r="A63" s="304"/>
      <c r="B63" s="305"/>
      <c r="F63" s="306"/>
      <c r="G63" s="306"/>
      <c r="H63" s="306"/>
    </row>
    <row r="64" spans="1:8" ht="15.75" customHeight="1">
      <c r="A64" s="304"/>
      <c r="B64" s="305"/>
      <c r="F64" s="306"/>
      <c r="G64" s="306"/>
      <c r="H64" s="306"/>
    </row>
    <row r="65" spans="1:8" ht="15.75" customHeight="1">
      <c r="A65" s="304"/>
      <c r="B65" s="305"/>
      <c r="F65" s="306"/>
      <c r="G65" s="306"/>
      <c r="H65" s="306"/>
    </row>
    <row r="66" spans="1:8" ht="15.75" customHeight="1">
      <c r="A66" s="304"/>
      <c r="B66" s="305"/>
      <c r="F66" s="306"/>
      <c r="G66" s="306"/>
      <c r="H66" s="306"/>
    </row>
    <row r="67" spans="1:8" ht="15.75" customHeight="1">
      <c r="A67" s="304"/>
      <c r="B67" s="305"/>
      <c r="F67" s="306"/>
      <c r="G67" s="306"/>
      <c r="H67" s="306"/>
    </row>
    <row r="68" spans="1:8" ht="15.75" customHeight="1">
      <c r="A68" s="304"/>
      <c r="B68" s="305"/>
      <c r="F68" s="306"/>
      <c r="G68" s="306"/>
      <c r="H68" s="306"/>
    </row>
    <row r="69" spans="1:8" ht="15.75" customHeight="1">
      <c r="A69" s="304"/>
      <c r="B69" s="305"/>
      <c r="F69" s="306"/>
      <c r="G69" s="306"/>
      <c r="H69" s="306"/>
    </row>
    <row r="70" spans="1:8" ht="15.75" customHeight="1">
      <c r="A70" s="304"/>
      <c r="B70" s="305"/>
      <c r="F70" s="306"/>
      <c r="G70" s="306"/>
      <c r="H70" s="306"/>
    </row>
    <row r="71" spans="1:8" ht="15.75" customHeight="1">
      <c r="A71" s="304"/>
      <c r="B71" s="305"/>
      <c r="F71" s="306"/>
      <c r="G71" s="306"/>
      <c r="H71" s="306"/>
    </row>
    <row r="72" spans="1:8" ht="15.75" customHeight="1">
      <c r="A72" s="304"/>
      <c r="B72" s="305"/>
      <c r="F72" s="306"/>
      <c r="G72" s="306"/>
      <c r="H72" s="306"/>
    </row>
    <row r="73" spans="1:8" ht="15.75" customHeight="1">
      <c r="A73" s="304"/>
      <c r="B73" s="305"/>
      <c r="F73" s="306"/>
      <c r="G73" s="306"/>
      <c r="H73" s="306"/>
    </row>
    <row r="74" spans="1:8" ht="15.75" customHeight="1">
      <c r="A74" s="304"/>
      <c r="B74" s="305"/>
      <c r="F74" s="306"/>
      <c r="G74" s="306"/>
      <c r="H74" s="306"/>
    </row>
    <row r="75" spans="1:8" ht="15.75" customHeight="1">
      <c r="A75" s="304"/>
      <c r="B75" s="305"/>
      <c r="F75" s="306"/>
      <c r="G75" s="306"/>
      <c r="H75" s="306"/>
    </row>
    <row r="76" spans="1:8" ht="15.75" customHeight="1">
      <c r="A76" s="304"/>
      <c r="B76" s="305"/>
      <c r="F76" s="306"/>
      <c r="G76" s="306"/>
      <c r="H76" s="306"/>
    </row>
    <row r="77" spans="1:8" ht="15.75" customHeight="1">
      <c r="A77" s="304"/>
      <c r="B77" s="305"/>
      <c r="F77" s="306"/>
      <c r="G77" s="306"/>
      <c r="H77" s="306"/>
    </row>
    <row r="78" spans="1:8" ht="15.75" customHeight="1">
      <c r="A78" s="304"/>
      <c r="B78" s="305"/>
      <c r="F78" s="306"/>
      <c r="G78" s="306"/>
      <c r="H78" s="306"/>
    </row>
    <row r="79" spans="1:8" ht="15.75" customHeight="1">
      <c r="A79" s="304"/>
      <c r="B79" s="305"/>
      <c r="F79" s="306"/>
      <c r="G79" s="306"/>
      <c r="H79" s="306"/>
    </row>
    <row r="80" spans="1:8" ht="15.75" customHeight="1">
      <c r="A80" s="304"/>
      <c r="B80" s="305"/>
      <c r="F80" s="306"/>
      <c r="G80" s="306"/>
      <c r="H80" s="306"/>
    </row>
    <row r="81" spans="1:8" ht="15.75" customHeight="1">
      <c r="A81" s="304"/>
      <c r="B81" s="305"/>
      <c r="F81" s="306"/>
      <c r="G81" s="306"/>
      <c r="H81" s="306"/>
    </row>
    <row r="82" spans="1:8" ht="15.75" customHeight="1">
      <c r="A82" s="304"/>
      <c r="B82" s="305"/>
      <c r="F82" s="306"/>
      <c r="G82" s="306"/>
      <c r="H82" s="306"/>
    </row>
    <row r="83" spans="1:8" ht="15.75" customHeight="1">
      <c r="A83" s="304"/>
      <c r="B83" s="305"/>
      <c r="F83" s="306"/>
      <c r="G83" s="306"/>
      <c r="H83" s="306"/>
    </row>
    <row r="84" spans="1:8" ht="15.75" customHeight="1">
      <c r="A84" s="304"/>
      <c r="B84" s="305"/>
      <c r="F84" s="306"/>
      <c r="G84" s="306"/>
      <c r="H84" s="306"/>
    </row>
    <row r="85" spans="1:8" ht="15.75" customHeight="1">
      <c r="A85" s="304"/>
      <c r="B85" s="305"/>
      <c r="F85" s="306"/>
      <c r="G85" s="306"/>
      <c r="H85" s="306"/>
    </row>
    <row r="86" spans="1:8" ht="15.75" customHeight="1">
      <c r="A86" s="304"/>
      <c r="B86" s="305"/>
      <c r="F86" s="306"/>
      <c r="G86" s="306"/>
      <c r="H86" s="306"/>
    </row>
    <row r="87" spans="1:8" ht="15.75" customHeight="1">
      <c r="A87" s="304"/>
      <c r="B87" s="305"/>
      <c r="F87" s="306"/>
      <c r="G87" s="306"/>
      <c r="H87" s="306"/>
    </row>
    <row r="88" spans="1:8" ht="15.75" customHeight="1">
      <c r="A88" s="304"/>
      <c r="B88" s="305"/>
      <c r="F88" s="306"/>
      <c r="G88" s="306"/>
      <c r="H88" s="306"/>
    </row>
    <row r="89" spans="1:8" ht="15.75" customHeight="1">
      <c r="A89" s="304"/>
      <c r="B89" s="305"/>
      <c r="F89" s="306"/>
      <c r="G89" s="306"/>
      <c r="H89" s="306"/>
    </row>
    <row r="90" spans="1:8" ht="15.75" customHeight="1">
      <c r="A90" s="304"/>
      <c r="B90" s="305"/>
      <c r="F90" s="306"/>
      <c r="G90" s="306"/>
      <c r="H90" s="306"/>
    </row>
    <row r="91" spans="1:8" ht="15.75" customHeight="1">
      <c r="A91" s="304"/>
      <c r="B91" s="305"/>
      <c r="F91" s="306"/>
      <c r="G91" s="306"/>
      <c r="H91" s="306"/>
    </row>
    <row r="92" spans="1:8" ht="15.75" customHeight="1">
      <c r="A92" s="304"/>
      <c r="B92" s="305"/>
      <c r="F92" s="306"/>
      <c r="G92" s="306"/>
      <c r="H92" s="306"/>
    </row>
    <row r="93" spans="1:8" ht="15.75" customHeight="1">
      <c r="A93" s="304"/>
      <c r="B93" s="305"/>
      <c r="F93" s="306"/>
      <c r="G93" s="306"/>
      <c r="H93" s="306"/>
    </row>
    <row r="94" spans="1:8" ht="15.75" customHeight="1">
      <c r="A94" s="304"/>
      <c r="B94" s="305"/>
      <c r="F94" s="306"/>
      <c r="G94" s="306"/>
      <c r="H94" s="306"/>
    </row>
    <row r="95" spans="1:8" ht="15.75" customHeight="1">
      <c r="A95" s="304"/>
      <c r="B95" s="305"/>
      <c r="F95" s="306"/>
      <c r="G95" s="306"/>
      <c r="H95" s="306"/>
    </row>
    <row r="96" spans="1:8" ht="15.75" customHeight="1">
      <c r="A96" s="304"/>
      <c r="B96" s="305"/>
      <c r="F96" s="306"/>
      <c r="G96" s="306"/>
      <c r="H96" s="306"/>
    </row>
    <row r="97" spans="1:8" ht="15.75" customHeight="1">
      <c r="A97" s="304"/>
      <c r="B97" s="305"/>
      <c r="F97" s="306"/>
      <c r="G97" s="306"/>
      <c r="H97" s="306"/>
    </row>
    <row r="98" spans="1:8" ht="15.75" customHeight="1">
      <c r="A98" s="304"/>
      <c r="B98" s="305"/>
      <c r="F98" s="306"/>
      <c r="G98" s="306"/>
      <c r="H98" s="306"/>
    </row>
    <row r="99" spans="1:8" ht="15.75" customHeight="1">
      <c r="A99" s="304"/>
      <c r="B99" s="305"/>
      <c r="F99" s="306"/>
      <c r="G99" s="306"/>
      <c r="H99" s="306"/>
    </row>
    <row r="100" spans="1:8" ht="15.75" customHeight="1">
      <c r="A100" s="304"/>
      <c r="B100" s="305"/>
      <c r="F100" s="306"/>
      <c r="G100" s="306"/>
      <c r="H100" s="306"/>
    </row>
    <row r="101" spans="1:8" ht="15.75" customHeight="1">
      <c r="A101" s="304"/>
      <c r="B101" s="305"/>
      <c r="F101" s="306"/>
      <c r="G101" s="306"/>
      <c r="H101" s="306"/>
    </row>
    <row r="102" spans="1:8" ht="15.75" customHeight="1">
      <c r="A102" s="304"/>
      <c r="B102" s="305"/>
      <c r="F102" s="306"/>
      <c r="G102" s="306"/>
      <c r="H102" s="306"/>
    </row>
    <row r="103" spans="1:8" ht="15.75" customHeight="1">
      <c r="A103" s="304"/>
      <c r="B103" s="305"/>
      <c r="F103" s="306"/>
      <c r="G103" s="306"/>
      <c r="H103" s="306"/>
    </row>
    <row r="104" spans="1:8" ht="15.75" customHeight="1">
      <c r="A104" s="304"/>
      <c r="B104" s="305"/>
      <c r="F104" s="306"/>
      <c r="G104" s="306"/>
      <c r="H104" s="306"/>
    </row>
    <row r="105" spans="1:8" ht="15.75" customHeight="1">
      <c r="A105" s="304"/>
      <c r="B105" s="305"/>
      <c r="F105" s="306"/>
      <c r="G105" s="306"/>
      <c r="H105" s="306"/>
    </row>
    <row r="106" spans="1:8" ht="15.75" customHeight="1">
      <c r="A106" s="304"/>
      <c r="B106" s="305"/>
      <c r="F106" s="306"/>
      <c r="G106" s="306"/>
      <c r="H106" s="306"/>
    </row>
    <row r="107" spans="1:8" ht="15.75" customHeight="1">
      <c r="A107" s="304"/>
      <c r="B107" s="305"/>
      <c r="F107" s="306"/>
      <c r="G107" s="306"/>
      <c r="H107" s="306"/>
    </row>
    <row r="108" spans="1:8" ht="15.75" customHeight="1">
      <c r="A108" s="304"/>
      <c r="B108" s="305"/>
      <c r="F108" s="306"/>
      <c r="G108" s="306"/>
      <c r="H108" s="306"/>
    </row>
    <row r="109" spans="1:8" ht="15.75" customHeight="1">
      <c r="A109" s="304"/>
      <c r="B109" s="305"/>
      <c r="F109" s="306"/>
      <c r="G109" s="306"/>
      <c r="H109" s="306"/>
    </row>
    <row r="110" spans="1:8" ht="15.75" customHeight="1">
      <c r="A110" s="304"/>
      <c r="B110" s="305"/>
      <c r="F110" s="306"/>
      <c r="G110" s="306"/>
      <c r="H110" s="306"/>
    </row>
    <row r="111" spans="1:8" ht="15.75" customHeight="1">
      <c r="A111" s="304"/>
      <c r="B111" s="305"/>
      <c r="F111" s="306"/>
      <c r="G111" s="306"/>
      <c r="H111" s="306"/>
    </row>
    <row r="112" spans="1:8" ht="15.75" customHeight="1">
      <c r="A112" s="304"/>
      <c r="B112" s="305"/>
      <c r="F112" s="306"/>
      <c r="G112" s="306"/>
      <c r="H112" s="306"/>
    </row>
    <row r="113" spans="1:8" ht="15.75" customHeight="1">
      <c r="A113" s="304"/>
      <c r="B113" s="305"/>
      <c r="F113" s="306"/>
      <c r="G113" s="306"/>
      <c r="H113" s="306"/>
    </row>
    <row r="114" spans="1:8" ht="15.75" customHeight="1">
      <c r="A114" s="304"/>
      <c r="B114" s="305"/>
      <c r="F114" s="306"/>
      <c r="G114" s="306"/>
      <c r="H114" s="306"/>
    </row>
    <row r="115" spans="1:8" ht="15.75" customHeight="1">
      <c r="A115" s="304"/>
      <c r="B115" s="305"/>
      <c r="F115" s="306"/>
      <c r="G115" s="306"/>
      <c r="H115" s="306"/>
    </row>
    <row r="116" spans="1:8" ht="15.75" customHeight="1">
      <c r="A116" s="304"/>
      <c r="B116" s="305"/>
      <c r="F116" s="306"/>
      <c r="G116" s="306"/>
      <c r="H116" s="306"/>
    </row>
    <row r="117" spans="1:8" ht="15.75" customHeight="1">
      <c r="A117" s="304"/>
      <c r="B117" s="305"/>
      <c r="F117" s="306"/>
      <c r="G117" s="306"/>
      <c r="H117" s="306"/>
    </row>
    <row r="118" spans="1:8" ht="15.75" customHeight="1">
      <c r="A118" s="304"/>
      <c r="B118" s="305"/>
      <c r="F118" s="306"/>
      <c r="G118" s="306"/>
      <c r="H118" s="306"/>
    </row>
    <row r="119" spans="1:8" ht="15.75" customHeight="1">
      <c r="A119" s="304"/>
      <c r="B119" s="305"/>
      <c r="F119" s="306"/>
      <c r="G119" s="306"/>
      <c r="H119" s="306"/>
    </row>
    <row r="120" spans="1:8" ht="15.75" customHeight="1">
      <c r="A120" s="304"/>
      <c r="B120" s="305"/>
      <c r="F120" s="306"/>
      <c r="G120" s="306"/>
      <c r="H120" s="306"/>
    </row>
    <row r="121" spans="1:8" ht="15.75" customHeight="1">
      <c r="A121" s="304"/>
      <c r="B121" s="305"/>
      <c r="F121" s="306"/>
      <c r="G121" s="306"/>
      <c r="H121" s="306"/>
    </row>
    <row r="122" spans="1:8" ht="15.75" customHeight="1">
      <c r="A122" s="304"/>
      <c r="B122" s="305"/>
      <c r="F122" s="306"/>
      <c r="G122" s="306"/>
      <c r="H122" s="306"/>
    </row>
    <row r="123" spans="1:8" ht="15.75" customHeight="1">
      <c r="A123" s="304"/>
      <c r="B123" s="305"/>
      <c r="F123" s="306"/>
      <c r="G123" s="306"/>
      <c r="H123" s="306"/>
    </row>
    <row r="124" spans="1:8" ht="15.75" customHeight="1">
      <c r="A124" s="304"/>
      <c r="B124" s="305"/>
      <c r="F124" s="306"/>
      <c r="G124" s="306"/>
      <c r="H124" s="306"/>
    </row>
    <row r="125" spans="1:8" ht="15.75" customHeight="1">
      <c r="A125" s="304"/>
      <c r="B125" s="305"/>
      <c r="F125" s="306"/>
      <c r="G125" s="306"/>
      <c r="H125" s="306"/>
    </row>
    <row r="126" spans="1:8" ht="15.75" customHeight="1">
      <c r="A126" s="304"/>
      <c r="B126" s="305"/>
      <c r="F126" s="306"/>
      <c r="G126" s="306"/>
      <c r="H126" s="306"/>
    </row>
    <row r="127" spans="1:8" ht="15.75" customHeight="1">
      <c r="A127" s="304"/>
      <c r="B127" s="305"/>
      <c r="F127" s="306"/>
      <c r="G127" s="306"/>
      <c r="H127" s="306"/>
    </row>
    <row r="128" spans="1:8" ht="15.75" customHeight="1">
      <c r="A128" s="304"/>
      <c r="B128" s="305"/>
      <c r="F128" s="306"/>
      <c r="G128" s="306"/>
      <c r="H128" s="306"/>
    </row>
    <row r="129" spans="1:8" ht="15.75" customHeight="1">
      <c r="A129" s="304"/>
      <c r="B129" s="305"/>
      <c r="F129" s="306"/>
      <c r="G129" s="306"/>
      <c r="H129" s="306"/>
    </row>
    <row r="130" spans="1:8" ht="15.75" customHeight="1">
      <c r="A130" s="304"/>
      <c r="B130" s="305"/>
      <c r="F130" s="306"/>
      <c r="G130" s="306"/>
      <c r="H130" s="306"/>
    </row>
    <row r="131" spans="1:8" ht="15.75" customHeight="1">
      <c r="A131" s="304"/>
      <c r="B131" s="305"/>
      <c r="F131" s="306"/>
      <c r="G131" s="306"/>
      <c r="H131" s="306"/>
    </row>
    <row r="132" spans="1:8" ht="15.75" customHeight="1">
      <c r="A132" s="304"/>
      <c r="B132" s="305"/>
      <c r="F132" s="306"/>
      <c r="G132" s="306"/>
      <c r="H132" s="306"/>
    </row>
    <row r="133" spans="1:8" ht="15.75" customHeight="1">
      <c r="A133" s="304"/>
      <c r="B133" s="305"/>
      <c r="F133" s="306"/>
      <c r="G133" s="306"/>
      <c r="H133" s="306"/>
    </row>
    <row r="134" spans="1:8" ht="15.75" customHeight="1">
      <c r="A134" s="304"/>
      <c r="B134" s="305"/>
      <c r="F134" s="306"/>
      <c r="G134" s="306"/>
      <c r="H134" s="306"/>
    </row>
    <row r="135" spans="1:8" ht="15.75" customHeight="1">
      <c r="A135" s="304"/>
      <c r="B135" s="305"/>
      <c r="F135" s="306"/>
      <c r="G135" s="306"/>
      <c r="H135" s="306"/>
    </row>
    <row r="136" spans="1:8" ht="15.75" customHeight="1">
      <c r="A136" s="304"/>
      <c r="B136" s="305"/>
      <c r="F136" s="306"/>
      <c r="G136" s="306"/>
      <c r="H136" s="306"/>
    </row>
    <row r="137" spans="1:8" ht="15.75" customHeight="1">
      <c r="A137" s="304"/>
      <c r="B137" s="305"/>
      <c r="F137" s="306"/>
      <c r="G137" s="306"/>
      <c r="H137" s="306"/>
    </row>
    <row r="138" spans="1:8" ht="15.75" customHeight="1">
      <c r="A138" s="304"/>
      <c r="B138" s="305"/>
      <c r="F138" s="306"/>
      <c r="G138" s="306"/>
      <c r="H138" s="306"/>
    </row>
    <row r="139" spans="1:8" ht="15.75" customHeight="1">
      <c r="A139" s="304"/>
      <c r="B139" s="305"/>
      <c r="F139" s="306"/>
      <c r="G139" s="306"/>
      <c r="H139" s="306"/>
    </row>
    <row r="140" spans="1:8" ht="15.75" customHeight="1">
      <c r="A140" s="304"/>
      <c r="B140" s="305"/>
      <c r="F140" s="306"/>
      <c r="G140" s="306"/>
      <c r="H140" s="306"/>
    </row>
    <row r="141" spans="1:8" ht="15.75" customHeight="1">
      <c r="A141" s="304"/>
      <c r="B141" s="305"/>
      <c r="F141" s="306"/>
      <c r="G141" s="306"/>
      <c r="H141" s="306"/>
    </row>
    <row r="142" spans="1:8" ht="15.75" customHeight="1">
      <c r="A142" s="304"/>
      <c r="B142" s="305"/>
      <c r="F142" s="306"/>
      <c r="G142" s="306"/>
      <c r="H142" s="306"/>
    </row>
    <row r="143" spans="1:8" ht="15.75" customHeight="1">
      <c r="A143" s="304"/>
      <c r="B143" s="305"/>
      <c r="F143" s="306"/>
      <c r="G143" s="306"/>
      <c r="H143" s="306"/>
    </row>
    <row r="144" spans="1:8" ht="15.75" customHeight="1">
      <c r="A144" s="304"/>
      <c r="B144" s="305"/>
      <c r="F144" s="306"/>
      <c r="G144" s="306"/>
      <c r="H144" s="306"/>
    </row>
    <row r="145" spans="1:8" ht="15.75" customHeight="1">
      <c r="A145" s="304"/>
      <c r="B145" s="305"/>
      <c r="F145" s="306"/>
      <c r="G145" s="306"/>
      <c r="H145" s="306"/>
    </row>
    <row r="146" spans="1:8" ht="15.75" customHeight="1">
      <c r="A146" s="304"/>
      <c r="B146" s="305"/>
      <c r="F146" s="306"/>
      <c r="G146" s="306"/>
      <c r="H146" s="306"/>
    </row>
    <row r="147" spans="1:8" ht="15.75" customHeight="1">
      <c r="A147" s="304"/>
      <c r="B147" s="305"/>
      <c r="F147" s="306"/>
      <c r="G147" s="306"/>
      <c r="H147" s="306"/>
    </row>
    <row r="148" spans="1:8" ht="15.75" customHeight="1">
      <c r="A148" s="304"/>
      <c r="B148" s="305"/>
      <c r="F148" s="306"/>
      <c r="G148" s="306"/>
      <c r="H148" s="306"/>
    </row>
    <row r="149" spans="1:8" ht="15.75" customHeight="1">
      <c r="A149" s="304"/>
      <c r="B149" s="305"/>
      <c r="F149" s="306"/>
      <c r="G149" s="306"/>
      <c r="H149" s="306"/>
    </row>
    <row r="150" spans="1:8" ht="15.75" customHeight="1">
      <c r="A150" s="304"/>
      <c r="B150" s="305"/>
      <c r="F150" s="306"/>
      <c r="G150" s="306"/>
      <c r="H150" s="306"/>
    </row>
    <row r="151" spans="1:8" ht="15.75" customHeight="1">
      <c r="A151" s="304"/>
      <c r="B151" s="305"/>
      <c r="F151" s="306"/>
      <c r="G151" s="306"/>
      <c r="H151" s="306"/>
    </row>
    <row r="152" spans="1:8" ht="15.75" customHeight="1">
      <c r="A152" s="304"/>
      <c r="B152" s="305"/>
      <c r="F152" s="306"/>
      <c r="G152" s="306"/>
      <c r="H152" s="306"/>
    </row>
    <row r="153" spans="1:8" ht="15.75" customHeight="1">
      <c r="A153" s="304"/>
      <c r="B153" s="305"/>
      <c r="F153" s="306"/>
      <c r="G153" s="306"/>
      <c r="H153" s="306"/>
    </row>
    <row r="154" spans="1:8" ht="15.75" customHeight="1">
      <c r="A154" s="304"/>
      <c r="B154" s="305"/>
      <c r="F154" s="306"/>
      <c r="G154" s="306"/>
      <c r="H154" s="306"/>
    </row>
    <row r="155" spans="1:8" ht="15.75" customHeight="1">
      <c r="A155" s="304"/>
      <c r="B155" s="305"/>
      <c r="F155" s="306"/>
      <c r="G155" s="306"/>
      <c r="H155" s="306"/>
    </row>
    <row r="156" spans="1:8" ht="15.75" customHeight="1">
      <c r="A156" s="304"/>
      <c r="B156" s="305"/>
      <c r="F156" s="306"/>
      <c r="G156" s="306"/>
      <c r="H156" s="306"/>
    </row>
    <row r="157" spans="1:8" ht="15.75" customHeight="1">
      <c r="A157" s="304"/>
      <c r="B157" s="305"/>
      <c r="F157" s="306"/>
      <c r="G157" s="306"/>
      <c r="H157" s="306"/>
    </row>
    <row r="158" spans="1:8" ht="15.75" customHeight="1">
      <c r="A158" s="304"/>
      <c r="B158" s="305"/>
      <c r="F158" s="306"/>
      <c r="G158" s="306"/>
      <c r="H158" s="306"/>
    </row>
    <row r="159" spans="1:8" ht="15.75" customHeight="1">
      <c r="A159" s="304"/>
      <c r="B159" s="305"/>
      <c r="F159" s="306"/>
      <c r="G159" s="306"/>
      <c r="H159" s="306"/>
    </row>
    <row r="160" spans="1:8" ht="15.75" customHeight="1">
      <c r="A160" s="304"/>
      <c r="B160" s="305"/>
      <c r="F160" s="306"/>
      <c r="G160" s="306"/>
      <c r="H160" s="306"/>
    </row>
    <row r="161" spans="1:8" ht="15.75" customHeight="1">
      <c r="A161" s="304"/>
      <c r="B161" s="305"/>
      <c r="F161" s="306"/>
      <c r="G161" s="306"/>
      <c r="H161" s="306"/>
    </row>
    <row r="162" spans="1:8" ht="15.75" customHeight="1">
      <c r="A162" s="304"/>
      <c r="B162" s="305"/>
      <c r="F162" s="306"/>
      <c r="G162" s="306"/>
      <c r="H162" s="306"/>
    </row>
    <row r="163" spans="1:8" ht="15.75" customHeight="1">
      <c r="A163" s="304"/>
      <c r="B163" s="305"/>
      <c r="F163" s="306"/>
      <c r="G163" s="306"/>
      <c r="H163" s="306"/>
    </row>
    <row r="164" spans="1:8" ht="15.75" customHeight="1">
      <c r="A164" s="304"/>
      <c r="B164" s="305"/>
      <c r="F164" s="306"/>
      <c r="G164" s="306"/>
      <c r="H164" s="306"/>
    </row>
    <row r="165" spans="1:8" ht="15.75" customHeight="1">
      <c r="A165" s="304"/>
      <c r="B165" s="305"/>
      <c r="F165" s="306"/>
      <c r="G165" s="306"/>
      <c r="H165" s="306"/>
    </row>
    <row r="166" spans="1:8" ht="15.75" customHeight="1">
      <c r="A166" s="304"/>
      <c r="B166" s="305"/>
      <c r="F166" s="306"/>
      <c r="G166" s="306"/>
      <c r="H166" s="306"/>
    </row>
    <row r="167" spans="1:8" ht="15.75" customHeight="1">
      <c r="A167" s="304"/>
      <c r="B167" s="305"/>
      <c r="F167" s="306"/>
      <c r="G167" s="306"/>
      <c r="H167" s="306"/>
    </row>
    <row r="168" spans="1:8" ht="15.75" customHeight="1">
      <c r="A168" s="304"/>
      <c r="B168" s="305"/>
      <c r="F168" s="306"/>
      <c r="G168" s="306"/>
      <c r="H168" s="306"/>
    </row>
    <row r="169" spans="1:8" ht="15.75" customHeight="1">
      <c r="A169" s="304"/>
      <c r="B169" s="305"/>
      <c r="F169" s="306"/>
      <c r="G169" s="306"/>
      <c r="H169" s="306"/>
    </row>
    <row r="170" spans="1:8" ht="15.75" customHeight="1">
      <c r="A170" s="304"/>
      <c r="B170" s="305"/>
      <c r="F170" s="306"/>
      <c r="G170" s="306"/>
      <c r="H170" s="306"/>
    </row>
    <row r="171" spans="1:8" ht="15.75" customHeight="1">
      <c r="A171" s="304"/>
      <c r="B171" s="305"/>
      <c r="F171" s="306"/>
      <c r="G171" s="306"/>
      <c r="H171" s="306"/>
    </row>
    <row r="172" spans="1:8" ht="15.75" customHeight="1">
      <c r="A172" s="304"/>
      <c r="B172" s="305"/>
      <c r="F172" s="306"/>
      <c r="G172" s="306"/>
      <c r="H172" s="306"/>
    </row>
    <row r="173" spans="1:8" ht="15.75" customHeight="1">
      <c r="A173" s="304"/>
      <c r="B173" s="305"/>
      <c r="F173" s="306"/>
      <c r="G173" s="306"/>
      <c r="H173" s="306"/>
    </row>
    <row r="174" spans="1:8" ht="15.75" customHeight="1">
      <c r="A174" s="304"/>
      <c r="B174" s="305"/>
      <c r="F174" s="306"/>
      <c r="G174" s="306"/>
      <c r="H174" s="306"/>
    </row>
    <row r="175" spans="1:8" ht="15.75" customHeight="1">
      <c r="A175" s="304"/>
      <c r="B175" s="305"/>
      <c r="F175" s="306"/>
      <c r="G175" s="306"/>
      <c r="H175" s="306"/>
    </row>
    <row r="176" spans="1:8" ht="15.75" customHeight="1">
      <c r="A176" s="304"/>
      <c r="B176" s="305"/>
      <c r="F176" s="306"/>
      <c r="G176" s="306"/>
      <c r="H176" s="306"/>
    </row>
    <row r="177" spans="1:8" ht="15.75" customHeight="1">
      <c r="A177" s="304"/>
      <c r="B177" s="305"/>
      <c r="F177" s="306"/>
      <c r="G177" s="306"/>
      <c r="H177" s="306"/>
    </row>
    <row r="178" spans="1:8" ht="15.75" customHeight="1">
      <c r="A178" s="304"/>
      <c r="B178" s="305"/>
      <c r="F178" s="306"/>
      <c r="G178" s="306"/>
      <c r="H178" s="306"/>
    </row>
    <row r="179" spans="1:8" ht="15.75" customHeight="1">
      <c r="A179" s="304"/>
      <c r="B179" s="305"/>
      <c r="F179" s="306"/>
      <c r="G179" s="306"/>
      <c r="H179" s="306"/>
    </row>
    <row r="180" spans="1:8" ht="15.75" customHeight="1">
      <c r="A180" s="304"/>
      <c r="B180" s="305"/>
      <c r="F180" s="306"/>
      <c r="G180" s="306"/>
      <c r="H180" s="306"/>
    </row>
    <row r="181" spans="1:8" ht="15.75" customHeight="1">
      <c r="A181" s="304"/>
      <c r="B181" s="305"/>
      <c r="F181" s="306"/>
      <c r="G181" s="306"/>
      <c r="H181" s="306"/>
    </row>
    <row r="182" spans="1:8" ht="15.75" customHeight="1">
      <c r="A182" s="304"/>
      <c r="B182" s="305"/>
      <c r="F182" s="306"/>
      <c r="G182" s="306"/>
      <c r="H182" s="306"/>
    </row>
    <row r="183" spans="1:8" ht="15.75" customHeight="1">
      <c r="A183" s="304"/>
      <c r="B183" s="305"/>
      <c r="F183" s="306"/>
      <c r="G183" s="306"/>
      <c r="H183" s="306"/>
    </row>
    <row r="184" spans="1:8" ht="15.75" customHeight="1">
      <c r="A184" s="304"/>
      <c r="B184" s="305"/>
      <c r="F184" s="306"/>
      <c r="G184" s="306"/>
      <c r="H184" s="306"/>
    </row>
    <row r="185" spans="1:8" ht="15.75" customHeight="1">
      <c r="A185" s="304"/>
      <c r="B185" s="305"/>
      <c r="F185" s="306"/>
      <c r="G185" s="306"/>
      <c r="H185" s="306"/>
    </row>
    <row r="186" spans="1:8" ht="15.75" customHeight="1">
      <c r="A186" s="304"/>
      <c r="B186" s="305"/>
      <c r="F186" s="306"/>
      <c r="G186" s="306"/>
      <c r="H186" s="306"/>
    </row>
    <row r="187" spans="1:8" ht="15.75" customHeight="1">
      <c r="A187" s="304"/>
      <c r="B187" s="305"/>
      <c r="F187" s="306"/>
      <c r="G187" s="306"/>
      <c r="H187" s="306"/>
    </row>
    <row r="188" spans="1:8" ht="15.75" customHeight="1">
      <c r="A188" s="304"/>
      <c r="B188" s="305"/>
      <c r="F188" s="306"/>
      <c r="G188" s="306"/>
      <c r="H188" s="306"/>
    </row>
    <row r="189" spans="1:8" ht="15.75" customHeight="1">
      <c r="A189" s="304"/>
      <c r="B189" s="305"/>
      <c r="F189" s="306"/>
      <c r="G189" s="306"/>
      <c r="H189" s="306"/>
    </row>
    <row r="190" spans="1:8" ht="15.75" customHeight="1">
      <c r="A190" s="304"/>
      <c r="B190" s="305"/>
      <c r="F190" s="306"/>
      <c r="G190" s="306"/>
      <c r="H190" s="306"/>
    </row>
    <row r="191" spans="1:8" ht="15.75" customHeight="1">
      <c r="A191" s="304"/>
      <c r="B191" s="305"/>
      <c r="F191" s="306"/>
      <c r="G191" s="306"/>
      <c r="H191" s="306"/>
    </row>
    <row r="192" spans="1:8" ht="15.75" customHeight="1">
      <c r="A192" s="304"/>
      <c r="B192" s="305"/>
      <c r="F192" s="306"/>
      <c r="G192" s="306"/>
      <c r="H192" s="306"/>
    </row>
    <row r="193" spans="1:8" ht="15.75" customHeight="1">
      <c r="A193" s="304"/>
      <c r="B193" s="305"/>
      <c r="F193" s="306"/>
      <c r="G193" s="306"/>
      <c r="H193" s="306"/>
    </row>
    <row r="194" spans="1:8" ht="15.75" customHeight="1">
      <c r="A194" s="304"/>
      <c r="B194" s="305"/>
      <c r="F194" s="306"/>
      <c r="G194" s="306"/>
      <c r="H194" s="306"/>
    </row>
    <row r="195" spans="1:8" ht="15.75" customHeight="1">
      <c r="A195" s="304"/>
      <c r="B195" s="305"/>
      <c r="F195" s="306"/>
      <c r="G195" s="306"/>
      <c r="H195" s="306"/>
    </row>
    <row r="196" spans="1:8" ht="15.75" customHeight="1">
      <c r="A196" s="304"/>
      <c r="B196" s="305"/>
      <c r="F196" s="306"/>
      <c r="G196" s="306"/>
      <c r="H196" s="306"/>
    </row>
    <row r="197" spans="1:8" ht="15.75" customHeight="1">
      <c r="A197" s="304"/>
      <c r="B197" s="305"/>
      <c r="F197" s="306"/>
      <c r="G197" s="306"/>
      <c r="H197" s="306"/>
    </row>
    <row r="198" spans="1:8" ht="15.75" customHeight="1">
      <c r="A198" s="304"/>
      <c r="B198" s="305"/>
      <c r="F198" s="306"/>
      <c r="G198" s="306"/>
      <c r="H198" s="306"/>
    </row>
    <row r="199" spans="1:8" ht="15.75" customHeight="1">
      <c r="A199" s="304"/>
      <c r="B199" s="305"/>
      <c r="F199" s="306"/>
      <c r="G199" s="306"/>
      <c r="H199" s="306"/>
    </row>
    <row r="200" spans="1:8" ht="15.75" customHeight="1">
      <c r="A200" s="304"/>
      <c r="B200" s="305"/>
      <c r="F200" s="306"/>
      <c r="G200" s="306"/>
      <c r="H200" s="306"/>
    </row>
    <row r="201" spans="1:8" ht="15.75" customHeight="1">
      <c r="A201" s="304"/>
      <c r="B201" s="305"/>
      <c r="F201" s="306"/>
      <c r="G201" s="306"/>
      <c r="H201" s="306"/>
    </row>
    <row r="202" spans="1:8" ht="15.75" customHeight="1">
      <c r="A202" s="304"/>
      <c r="B202" s="305"/>
      <c r="F202" s="306"/>
      <c r="G202" s="306"/>
      <c r="H202" s="306"/>
    </row>
    <row r="203" spans="1:8" ht="15.75" customHeight="1">
      <c r="A203" s="304"/>
      <c r="B203" s="305"/>
      <c r="F203" s="306"/>
      <c r="G203" s="306"/>
      <c r="H203" s="306"/>
    </row>
    <row r="204" spans="1:8" ht="15.75" customHeight="1">
      <c r="A204" s="304"/>
      <c r="B204" s="305"/>
      <c r="F204" s="306"/>
      <c r="G204" s="306"/>
      <c r="H204" s="306"/>
    </row>
    <row r="205" spans="1:8" ht="15.75" customHeight="1">
      <c r="A205" s="304"/>
      <c r="B205" s="305"/>
      <c r="F205" s="306"/>
      <c r="G205" s="306"/>
      <c r="H205" s="306"/>
    </row>
    <row r="206" spans="1:8" ht="15.75" customHeight="1">
      <c r="A206" s="304"/>
      <c r="B206" s="305"/>
      <c r="F206" s="306"/>
      <c r="G206" s="306"/>
      <c r="H206" s="306"/>
    </row>
    <row r="207" spans="1:8" ht="15.75" customHeight="1">
      <c r="A207" s="304"/>
      <c r="B207" s="305"/>
      <c r="F207" s="306"/>
      <c r="G207" s="306"/>
      <c r="H207" s="306"/>
    </row>
    <row r="208" spans="1:8" ht="15.75" customHeight="1">
      <c r="A208" s="304"/>
      <c r="B208" s="305"/>
      <c r="F208" s="306"/>
      <c r="G208" s="306"/>
      <c r="H208" s="306"/>
    </row>
    <row r="209" spans="1:8" ht="15.75" customHeight="1">
      <c r="A209" s="304"/>
      <c r="B209" s="305"/>
      <c r="F209" s="306"/>
      <c r="G209" s="306"/>
      <c r="H209" s="306"/>
    </row>
    <row r="210" spans="1:8" ht="15.75" customHeight="1">
      <c r="A210" s="304"/>
      <c r="B210" s="305"/>
      <c r="F210" s="306"/>
      <c r="G210" s="306"/>
      <c r="H210" s="306"/>
    </row>
    <row r="211" spans="1:8" ht="15.75" customHeight="1">
      <c r="A211" s="304"/>
      <c r="B211" s="305"/>
      <c r="F211" s="306"/>
      <c r="G211" s="306"/>
      <c r="H211" s="306"/>
    </row>
    <row r="212" spans="1:8" ht="15.75" customHeight="1">
      <c r="A212" s="304"/>
      <c r="B212" s="305"/>
      <c r="F212" s="306"/>
      <c r="G212" s="306"/>
      <c r="H212" s="306"/>
    </row>
    <row r="213" spans="1:8" ht="15.75" customHeight="1">
      <c r="A213" s="304"/>
      <c r="B213" s="305"/>
      <c r="F213" s="306"/>
      <c r="G213" s="306"/>
      <c r="H213" s="306"/>
    </row>
    <row r="214" spans="1:8" ht="15.75" customHeight="1">
      <c r="A214" s="304"/>
      <c r="B214" s="305"/>
      <c r="F214" s="306"/>
      <c r="G214" s="306"/>
      <c r="H214" s="306"/>
    </row>
    <row r="215" spans="1:8" ht="15.75" customHeight="1">
      <c r="A215" s="304"/>
      <c r="B215" s="305"/>
      <c r="F215" s="306"/>
      <c r="G215" s="306"/>
      <c r="H215" s="306"/>
    </row>
    <row r="216" spans="1:8" ht="15.75" customHeight="1">
      <c r="A216" s="304"/>
      <c r="B216" s="305"/>
      <c r="F216" s="306"/>
      <c r="G216" s="306"/>
      <c r="H216" s="306"/>
    </row>
    <row r="217" spans="1:8" ht="15.75" customHeight="1">
      <c r="A217" s="304"/>
      <c r="B217" s="305"/>
      <c r="F217" s="306"/>
      <c r="G217" s="306"/>
      <c r="H217" s="306"/>
    </row>
    <row r="218" spans="1:8" ht="15.75" customHeight="1">
      <c r="A218" s="304"/>
      <c r="B218" s="305"/>
      <c r="F218" s="306"/>
      <c r="G218" s="306"/>
      <c r="H218" s="306"/>
    </row>
    <row r="219" spans="1:8" ht="15.75" customHeight="1">
      <c r="A219" s="304"/>
      <c r="B219" s="305"/>
      <c r="F219" s="306"/>
      <c r="G219" s="306"/>
      <c r="H219" s="306"/>
    </row>
    <row r="220" spans="1:8" ht="15.75" customHeight="1">
      <c r="A220" s="304"/>
      <c r="B220" s="305"/>
      <c r="F220" s="306"/>
      <c r="G220" s="306"/>
      <c r="H220" s="306"/>
    </row>
    <row r="221" spans="1:8" ht="15.75" customHeight="1">
      <c r="A221" s="304"/>
      <c r="B221" s="305"/>
      <c r="F221" s="306"/>
      <c r="G221" s="306"/>
      <c r="H221" s="306"/>
    </row>
    <row r="222" spans="1:8" ht="15.75" customHeight="1">
      <c r="A222" s="304"/>
      <c r="B222" s="305"/>
      <c r="F222" s="306"/>
      <c r="G222" s="306"/>
      <c r="H222" s="306"/>
    </row>
    <row r="223" spans="1:8" ht="15.75" customHeight="1">
      <c r="A223" s="304"/>
      <c r="B223" s="305"/>
      <c r="F223" s="306"/>
      <c r="G223" s="306"/>
      <c r="H223" s="306"/>
    </row>
    <row r="224" spans="1:8" ht="15.75" customHeight="1">
      <c r="A224" s="304"/>
      <c r="B224" s="305"/>
      <c r="F224" s="306"/>
      <c r="G224" s="306"/>
      <c r="H224" s="306"/>
    </row>
    <row r="225" spans="1:8" ht="15.75" customHeight="1">
      <c r="A225" s="304"/>
      <c r="B225" s="305"/>
      <c r="F225" s="306"/>
      <c r="G225" s="306"/>
      <c r="H225" s="306"/>
    </row>
    <row r="226" spans="1:8" ht="15.75" customHeight="1">
      <c r="A226" s="304"/>
      <c r="B226" s="305"/>
      <c r="F226" s="306"/>
      <c r="G226" s="306"/>
      <c r="H226" s="306"/>
    </row>
    <row r="227" spans="1:8" ht="15.75" customHeight="1">
      <c r="A227" s="304"/>
      <c r="B227" s="305"/>
      <c r="F227" s="306"/>
      <c r="G227" s="306"/>
      <c r="H227" s="306"/>
    </row>
    <row r="228" spans="1:8" ht="15.75" customHeight="1">
      <c r="A228" s="304"/>
      <c r="B228" s="305"/>
      <c r="F228" s="306"/>
      <c r="G228" s="306"/>
      <c r="H228" s="306"/>
    </row>
    <row r="229" spans="1:8" ht="15.75" customHeight="1">
      <c r="A229" s="304"/>
      <c r="B229" s="305"/>
      <c r="F229" s="306"/>
      <c r="G229" s="306"/>
      <c r="H229" s="306"/>
    </row>
    <row r="230" spans="1:8" ht="15.75" customHeight="1">
      <c r="A230" s="304"/>
      <c r="B230" s="305"/>
      <c r="F230" s="306"/>
      <c r="G230" s="306"/>
      <c r="H230" s="306"/>
    </row>
    <row r="231" spans="1:8" ht="15.75" customHeight="1">
      <c r="A231" s="304"/>
      <c r="B231" s="305"/>
      <c r="F231" s="306"/>
      <c r="G231" s="306"/>
      <c r="H231" s="306"/>
    </row>
    <row r="232" spans="1:8" ht="15.75" customHeight="1">
      <c r="A232" s="304"/>
      <c r="B232" s="305"/>
      <c r="F232" s="306"/>
      <c r="G232" s="306"/>
      <c r="H232" s="306"/>
    </row>
    <row r="233" spans="1:8" ht="15.75" customHeight="1">
      <c r="A233" s="304"/>
      <c r="B233" s="305"/>
      <c r="F233" s="306"/>
      <c r="G233" s="306"/>
      <c r="H233" s="306"/>
    </row>
    <row r="234" spans="1:8" ht="15.75" customHeight="1">
      <c r="A234" s="304"/>
      <c r="B234" s="305"/>
      <c r="F234" s="306"/>
      <c r="G234" s="306"/>
      <c r="H234" s="306"/>
    </row>
    <row r="235" spans="1:8" ht="15.75" customHeight="1">
      <c r="A235" s="304"/>
      <c r="B235" s="305"/>
      <c r="F235" s="306"/>
      <c r="G235" s="306"/>
      <c r="H235" s="306"/>
    </row>
    <row r="236" spans="1:8" ht="15.75" customHeight="1">
      <c r="A236" s="304"/>
      <c r="B236" s="305"/>
      <c r="F236" s="306"/>
      <c r="G236" s="306"/>
      <c r="H236" s="306"/>
    </row>
    <row r="237" spans="1:8" ht="15.75" customHeight="1">
      <c r="A237" s="304"/>
      <c r="B237" s="305"/>
      <c r="F237" s="306"/>
      <c r="G237" s="306"/>
      <c r="H237" s="306"/>
    </row>
    <row r="238" spans="1:8" ht="15.75" customHeight="1">
      <c r="A238" s="304"/>
      <c r="B238" s="305"/>
      <c r="F238" s="306"/>
      <c r="G238" s="306"/>
      <c r="H238" s="306"/>
    </row>
    <row r="239" spans="1:8" ht="15.75" customHeight="1">
      <c r="A239" s="304"/>
      <c r="B239" s="305"/>
      <c r="F239" s="306"/>
      <c r="G239" s="306"/>
      <c r="H239" s="306"/>
    </row>
    <row r="240" spans="1:8" ht="15.75" customHeight="1">
      <c r="A240" s="304"/>
      <c r="B240" s="305"/>
      <c r="F240" s="306"/>
      <c r="G240" s="306"/>
      <c r="H240" s="306"/>
    </row>
    <row r="241" spans="1:8" ht="15.75" customHeight="1">
      <c r="A241" s="304"/>
      <c r="B241" s="305"/>
      <c r="F241" s="306"/>
      <c r="G241" s="306"/>
      <c r="H241" s="306"/>
    </row>
    <row r="242" spans="1:8" ht="15.75" customHeight="1">
      <c r="A242" s="304"/>
      <c r="B242" s="305"/>
      <c r="F242" s="306"/>
      <c r="G242" s="306"/>
      <c r="H242" s="306"/>
    </row>
    <row r="243" spans="1:8" ht="15.75" customHeight="1">
      <c r="A243" s="304"/>
      <c r="B243" s="305"/>
      <c r="F243" s="306"/>
      <c r="G243" s="306"/>
      <c r="H243" s="306"/>
    </row>
    <row r="244" spans="1:8" ht="15.75" customHeight="1">
      <c r="A244" s="304"/>
      <c r="B244" s="305"/>
      <c r="F244" s="306"/>
      <c r="G244" s="306"/>
      <c r="H244" s="306"/>
    </row>
    <row r="245" spans="1:8" ht="15.75" customHeight="1">
      <c r="A245" s="304"/>
      <c r="B245" s="305"/>
      <c r="F245" s="306"/>
      <c r="G245" s="306"/>
      <c r="H245" s="306"/>
    </row>
    <row r="246" spans="1:8" ht="15.75" customHeight="1">
      <c r="A246" s="304"/>
      <c r="B246" s="305"/>
      <c r="F246" s="306"/>
      <c r="G246" s="306"/>
      <c r="H246" s="306"/>
    </row>
    <row r="247" spans="1:8" ht="15.75" customHeight="1">
      <c r="A247" s="304"/>
      <c r="B247" s="305"/>
      <c r="F247" s="306"/>
      <c r="G247" s="306"/>
      <c r="H247" s="306"/>
    </row>
    <row r="248" spans="1:8" ht="15.75" customHeight="1">
      <c r="A248" s="304"/>
      <c r="B248" s="305"/>
      <c r="F248" s="306"/>
      <c r="G248" s="306"/>
      <c r="H248" s="306"/>
    </row>
    <row r="249" spans="1:8" ht="15.75" customHeight="1">
      <c r="A249" s="304"/>
      <c r="B249" s="305"/>
      <c r="F249" s="306"/>
      <c r="G249" s="306"/>
      <c r="H249" s="306"/>
    </row>
    <row r="250" spans="1:8" ht="15.75" customHeight="1">
      <c r="A250" s="304"/>
      <c r="B250" s="305"/>
      <c r="F250" s="306"/>
      <c r="G250" s="306"/>
      <c r="H250" s="306"/>
    </row>
    <row r="251" spans="1:8" ht="15.75" customHeight="1">
      <c r="A251" s="304"/>
      <c r="B251" s="305"/>
      <c r="F251" s="306"/>
      <c r="G251" s="306"/>
      <c r="H251" s="306"/>
    </row>
    <row r="252" spans="1:8" ht="15.75" customHeight="1">
      <c r="A252" s="304"/>
      <c r="B252" s="305"/>
      <c r="F252" s="306"/>
      <c r="G252" s="306"/>
      <c r="H252" s="306"/>
    </row>
    <row r="253" spans="1:8" ht="15.75" customHeight="1">
      <c r="A253" s="304"/>
      <c r="B253" s="305"/>
      <c r="F253" s="306"/>
      <c r="G253" s="306"/>
      <c r="H253" s="306"/>
    </row>
    <row r="254" spans="1:8" ht="15.75" customHeight="1">
      <c r="A254" s="304"/>
      <c r="B254" s="305"/>
      <c r="F254" s="306"/>
      <c r="G254" s="306"/>
      <c r="H254" s="306"/>
    </row>
    <row r="255" spans="1:8" ht="15.75" customHeight="1">
      <c r="A255" s="304"/>
      <c r="B255" s="305"/>
      <c r="F255" s="306"/>
      <c r="G255" s="306"/>
      <c r="H255" s="306"/>
    </row>
    <row r="256" spans="1:8" ht="15.75" customHeight="1">
      <c r="A256" s="304"/>
      <c r="B256" s="305"/>
      <c r="F256" s="306"/>
      <c r="G256" s="306"/>
      <c r="H256" s="306"/>
    </row>
    <row r="257" spans="1:8" ht="15.75" customHeight="1">
      <c r="A257" s="304"/>
      <c r="B257" s="305"/>
      <c r="F257" s="306"/>
      <c r="G257" s="306"/>
      <c r="H257" s="306"/>
    </row>
    <row r="258" spans="1:8" ht="15.75" customHeight="1">
      <c r="A258" s="304"/>
      <c r="B258" s="305"/>
      <c r="F258" s="306"/>
      <c r="G258" s="306"/>
      <c r="H258" s="306"/>
    </row>
    <row r="259" spans="1:8" ht="15.75" customHeight="1">
      <c r="A259" s="304"/>
      <c r="B259" s="305"/>
      <c r="F259" s="306"/>
      <c r="G259" s="306"/>
      <c r="H259" s="306"/>
    </row>
    <row r="260" spans="1:8" ht="15.75" customHeight="1">
      <c r="A260" s="304"/>
      <c r="B260" s="305"/>
      <c r="F260" s="306"/>
      <c r="G260" s="306"/>
      <c r="H260" s="306"/>
    </row>
    <row r="261" spans="1:8" ht="15.75" customHeight="1">
      <c r="A261" s="304"/>
      <c r="B261" s="305"/>
      <c r="F261" s="306"/>
      <c r="G261" s="306"/>
      <c r="H261" s="306"/>
    </row>
    <row r="262" spans="1:8" ht="15.75" customHeight="1">
      <c r="A262" s="304"/>
      <c r="B262" s="305"/>
      <c r="F262" s="306"/>
      <c r="G262" s="306"/>
      <c r="H262" s="306"/>
    </row>
    <row r="263" spans="1:8" ht="15.75" customHeight="1">
      <c r="A263" s="304"/>
      <c r="B263" s="305"/>
      <c r="F263" s="306"/>
      <c r="G263" s="306"/>
      <c r="H263" s="306"/>
    </row>
    <row r="264" spans="1:8" ht="15.75" customHeight="1">
      <c r="A264" s="304"/>
      <c r="B264" s="305"/>
      <c r="F264" s="306"/>
      <c r="G264" s="306"/>
      <c r="H264" s="306"/>
    </row>
    <row r="265" spans="1:8" ht="15.75" customHeight="1">
      <c r="A265" s="304"/>
      <c r="B265" s="305"/>
      <c r="F265" s="306"/>
      <c r="G265" s="306"/>
      <c r="H265" s="306"/>
    </row>
    <row r="266" spans="1:8" ht="15.75" customHeight="1">
      <c r="A266" s="304"/>
      <c r="B266" s="305"/>
      <c r="F266" s="306"/>
      <c r="G266" s="306"/>
      <c r="H266" s="306"/>
    </row>
    <row r="267" spans="1:8" ht="15.75" customHeight="1">
      <c r="A267" s="304"/>
      <c r="B267" s="305"/>
      <c r="F267" s="306"/>
      <c r="G267" s="306"/>
      <c r="H267" s="306"/>
    </row>
    <row r="268" spans="1:8" ht="15.75" customHeight="1">
      <c r="A268" s="304"/>
      <c r="B268" s="305"/>
      <c r="F268" s="306"/>
      <c r="G268" s="306"/>
      <c r="H268" s="306"/>
    </row>
    <row r="269" spans="1:8" ht="15.75" customHeight="1">
      <c r="A269" s="304"/>
      <c r="B269" s="305"/>
      <c r="F269" s="306"/>
      <c r="G269" s="306"/>
      <c r="H269" s="306"/>
    </row>
    <row r="270" spans="1:8" ht="15.75" customHeight="1">
      <c r="A270" s="304"/>
      <c r="B270" s="305"/>
      <c r="F270" s="306"/>
      <c r="G270" s="306"/>
      <c r="H270" s="306"/>
    </row>
    <row r="271" spans="1:8" ht="15.75" customHeight="1">
      <c r="A271" s="304"/>
      <c r="B271" s="305"/>
      <c r="F271" s="306"/>
      <c r="G271" s="306"/>
      <c r="H271" s="306"/>
    </row>
    <row r="272" spans="1:8" ht="15.75" customHeight="1">
      <c r="A272" s="304"/>
      <c r="B272" s="305"/>
      <c r="F272" s="306"/>
      <c r="G272" s="306"/>
      <c r="H272" s="306"/>
    </row>
    <row r="273" spans="1:8" ht="15.75" customHeight="1">
      <c r="A273" s="304"/>
      <c r="B273" s="305"/>
      <c r="F273" s="306"/>
      <c r="G273" s="306"/>
      <c r="H273" s="306"/>
    </row>
    <row r="274" spans="1:8" ht="15.75" customHeight="1">
      <c r="A274" s="304"/>
      <c r="B274" s="305"/>
      <c r="F274" s="306"/>
      <c r="G274" s="306"/>
      <c r="H274" s="306"/>
    </row>
    <row r="275" spans="1:8" ht="15.75" customHeight="1">
      <c r="A275" s="304"/>
      <c r="B275" s="305"/>
      <c r="F275" s="306"/>
      <c r="G275" s="306"/>
      <c r="H275" s="306"/>
    </row>
    <row r="276" spans="1:8" ht="15.75" customHeight="1">
      <c r="A276" s="304"/>
      <c r="B276" s="305"/>
      <c r="F276" s="306"/>
      <c r="G276" s="306"/>
      <c r="H276" s="306"/>
    </row>
    <row r="277" spans="1:8" ht="15.75" customHeight="1">
      <c r="A277" s="304"/>
      <c r="B277" s="305"/>
      <c r="F277" s="306"/>
      <c r="G277" s="306"/>
      <c r="H277" s="306"/>
    </row>
    <row r="278" spans="1:8" ht="15.75" customHeight="1">
      <c r="A278" s="304"/>
      <c r="B278" s="305"/>
      <c r="F278" s="306"/>
      <c r="G278" s="306"/>
      <c r="H278" s="306"/>
    </row>
    <row r="279" spans="1:8" ht="15.75" customHeight="1">
      <c r="A279" s="304"/>
      <c r="B279" s="305"/>
      <c r="F279" s="306"/>
      <c r="G279" s="306"/>
      <c r="H279" s="306"/>
    </row>
    <row r="280" spans="1:8" ht="15.75" customHeight="1">
      <c r="A280" s="304"/>
      <c r="B280" s="305"/>
      <c r="F280" s="306"/>
      <c r="G280" s="306"/>
      <c r="H280" s="306"/>
    </row>
    <row r="281" spans="1:8" ht="15.75" customHeight="1">
      <c r="A281" s="304"/>
      <c r="B281" s="305"/>
      <c r="F281" s="306"/>
      <c r="G281" s="306"/>
      <c r="H281" s="306"/>
    </row>
    <row r="282" spans="1:8" ht="15.75" customHeight="1">
      <c r="A282" s="304"/>
      <c r="B282" s="305"/>
      <c r="F282" s="306"/>
      <c r="G282" s="306"/>
      <c r="H282" s="306"/>
    </row>
    <row r="283" spans="1:8" ht="15.75" customHeight="1">
      <c r="A283" s="304"/>
      <c r="B283" s="305"/>
      <c r="F283" s="306"/>
      <c r="G283" s="306"/>
      <c r="H283" s="306"/>
    </row>
    <row r="284" spans="1:8" ht="15.75" customHeight="1">
      <c r="A284" s="304"/>
      <c r="B284" s="305"/>
      <c r="F284" s="306"/>
      <c r="G284" s="306"/>
      <c r="H284" s="306"/>
    </row>
    <row r="285" spans="1:8" ht="15.75" customHeight="1">
      <c r="A285" s="304"/>
      <c r="B285" s="305"/>
      <c r="F285" s="306"/>
      <c r="G285" s="306"/>
      <c r="H285" s="306"/>
    </row>
    <row r="286" spans="1:8" ht="15.75" customHeight="1">
      <c r="A286" s="304"/>
      <c r="B286" s="305"/>
      <c r="F286" s="306"/>
      <c r="G286" s="306"/>
      <c r="H286" s="306"/>
    </row>
    <row r="287" spans="1:8" ht="15.75" customHeight="1">
      <c r="A287" s="304"/>
      <c r="B287" s="305"/>
      <c r="F287" s="306"/>
      <c r="G287" s="306"/>
      <c r="H287" s="306"/>
    </row>
    <row r="288" spans="1:8" ht="15.75" customHeight="1">
      <c r="A288" s="304"/>
      <c r="B288" s="305"/>
      <c r="F288" s="306"/>
      <c r="G288" s="306"/>
      <c r="H288" s="306"/>
    </row>
    <row r="289" spans="1:8" ht="15.75" customHeight="1">
      <c r="A289" s="304"/>
      <c r="B289" s="305"/>
      <c r="F289" s="306"/>
      <c r="G289" s="306"/>
      <c r="H289" s="306"/>
    </row>
    <row r="290" spans="1:8" ht="15.75" customHeight="1">
      <c r="A290" s="304"/>
      <c r="B290" s="305"/>
      <c r="F290" s="306"/>
      <c r="G290" s="306"/>
      <c r="H290" s="306"/>
    </row>
    <row r="291" spans="1:8" ht="15.75" customHeight="1">
      <c r="A291" s="304"/>
      <c r="B291" s="305"/>
      <c r="F291" s="306"/>
      <c r="G291" s="306"/>
      <c r="H291" s="306"/>
    </row>
    <row r="292" spans="1:8" ht="15.75" customHeight="1">
      <c r="A292" s="304"/>
      <c r="B292" s="305"/>
      <c r="F292" s="306"/>
      <c r="G292" s="306"/>
      <c r="H292" s="306"/>
    </row>
    <row r="293" spans="1:8" ht="15.75" customHeight="1">
      <c r="A293" s="304"/>
      <c r="B293" s="305"/>
      <c r="F293" s="306"/>
      <c r="G293" s="306"/>
      <c r="H293" s="306"/>
    </row>
    <row r="294" spans="1:8" ht="15.75" customHeight="1">
      <c r="A294" s="304"/>
      <c r="B294" s="305"/>
      <c r="F294" s="306"/>
      <c r="G294" s="306"/>
      <c r="H294" s="306"/>
    </row>
    <row r="295" spans="1:8" ht="15.75" customHeight="1">
      <c r="A295" s="304"/>
      <c r="B295" s="305"/>
      <c r="F295" s="306"/>
      <c r="G295" s="306"/>
      <c r="H295" s="306"/>
    </row>
    <row r="296" spans="1:8" ht="15.75" customHeight="1">
      <c r="A296" s="304"/>
      <c r="B296" s="305"/>
      <c r="F296" s="306"/>
      <c r="G296" s="306"/>
      <c r="H296" s="306"/>
    </row>
    <row r="297" spans="1:8" ht="15.75" customHeight="1">
      <c r="A297" s="304"/>
      <c r="B297" s="305"/>
      <c r="F297" s="306"/>
      <c r="G297" s="306"/>
      <c r="H297" s="306"/>
    </row>
    <row r="298" spans="1:8" ht="15.75" customHeight="1">
      <c r="A298" s="304"/>
      <c r="B298" s="305"/>
      <c r="F298" s="306"/>
      <c r="G298" s="306"/>
      <c r="H298" s="306"/>
    </row>
    <row r="299" spans="1:8" ht="15.75" customHeight="1">
      <c r="A299" s="304"/>
      <c r="B299" s="305"/>
      <c r="F299" s="306"/>
      <c r="G299" s="306"/>
      <c r="H299" s="306"/>
    </row>
    <row r="300" spans="1:8" ht="15.75" customHeight="1">
      <c r="A300" s="304"/>
      <c r="B300" s="305"/>
      <c r="F300" s="306"/>
      <c r="G300" s="306"/>
      <c r="H300" s="306"/>
    </row>
    <row r="301" spans="1:8" ht="15.75" customHeight="1">
      <c r="A301" s="304"/>
      <c r="B301" s="305"/>
      <c r="F301" s="306"/>
      <c r="G301" s="306"/>
      <c r="H301" s="306"/>
    </row>
    <row r="302" spans="1:8" ht="15.75" customHeight="1">
      <c r="A302" s="304"/>
      <c r="B302" s="305"/>
      <c r="F302" s="306"/>
      <c r="G302" s="306"/>
      <c r="H302" s="306"/>
    </row>
    <row r="303" spans="1:8" ht="15.75" customHeight="1">
      <c r="A303" s="304"/>
      <c r="B303" s="305"/>
      <c r="F303" s="306"/>
      <c r="G303" s="306"/>
      <c r="H303" s="306"/>
    </row>
    <row r="304" spans="1:8" ht="15.75" customHeight="1">
      <c r="A304" s="304"/>
      <c r="B304" s="305"/>
      <c r="F304" s="306"/>
      <c r="G304" s="306"/>
      <c r="H304" s="306"/>
    </row>
    <row r="305" spans="1:8" ht="15.75" customHeight="1">
      <c r="A305" s="304"/>
      <c r="B305" s="305"/>
      <c r="F305" s="306"/>
      <c r="G305" s="306"/>
      <c r="H305" s="306"/>
    </row>
    <row r="306" spans="1:8" ht="15.75" customHeight="1">
      <c r="A306" s="304"/>
      <c r="B306" s="305"/>
      <c r="F306" s="306"/>
      <c r="G306" s="306"/>
      <c r="H306" s="306"/>
    </row>
    <row r="307" spans="1:8" ht="15.75" customHeight="1">
      <c r="A307" s="304"/>
      <c r="B307" s="305"/>
      <c r="F307" s="306"/>
      <c r="G307" s="306"/>
      <c r="H307" s="306"/>
    </row>
    <row r="308" spans="1:8" ht="15.75" customHeight="1">
      <c r="A308" s="304"/>
      <c r="B308" s="305"/>
      <c r="F308" s="306"/>
      <c r="G308" s="306"/>
      <c r="H308" s="306"/>
    </row>
    <row r="309" spans="1:8" ht="15.75" customHeight="1">
      <c r="A309" s="304"/>
      <c r="B309" s="305"/>
      <c r="F309" s="306"/>
      <c r="G309" s="306"/>
      <c r="H309" s="306"/>
    </row>
    <row r="310" spans="1:8" ht="15.75" customHeight="1">
      <c r="A310" s="304"/>
      <c r="B310" s="305"/>
      <c r="F310" s="306"/>
      <c r="G310" s="306"/>
      <c r="H310" s="306"/>
    </row>
    <row r="311" spans="1:8" ht="15.75" customHeight="1">
      <c r="A311" s="304"/>
      <c r="B311" s="305"/>
      <c r="F311" s="306"/>
      <c r="G311" s="306"/>
      <c r="H311" s="306"/>
    </row>
    <row r="312" spans="1:8" ht="15.75" customHeight="1">
      <c r="A312" s="304"/>
      <c r="B312" s="305"/>
      <c r="F312" s="306"/>
      <c r="G312" s="306"/>
      <c r="H312" s="306"/>
    </row>
    <row r="313" spans="1:8" ht="15.75" customHeight="1">
      <c r="A313" s="304"/>
      <c r="B313" s="305"/>
      <c r="F313" s="306"/>
      <c r="G313" s="306"/>
      <c r="H313" s="306"/>
    </row>
    <row r="314" spans="1:8" ht="15.75" customHeight="1">
      <c r="A314" s="304"/>
      <c r="B314" s="305"/>
      <c r="F314" s="306"/>
      <c r="G314" s="306"/>
      <c r="H314" s="306"/>
    </row>
    <row r="315" spans="1:8" ht="15.75" customHeight="1">
      <c r="A315" s="304"/>
      <c r="B315" s="305"/>
      <c r="F315" s="306"/>
      <c r="G315" s="306"/>
      <c r="H315" s="306"/>
    </row>
    <row r="316" spans="1:8" ht="15.75" customHeight="1">
      <c r="A316" s="304"/>
      <c r="B316" s="305"/>
      <c r="F316" s="306"/>
      <c r="G316" s="306"/>
      <c r="H316" s="306"/>
    </row>
    <row r="317" spans="1:8" ht="15.75" customHeight="1">
      <c r="A317" s="304"/>
      <c r="B317" s="305"/>
      <c r="F317" s="306"/>
      <c r="G317" s="306"/>
      <c r="H317" s="306"/>
    </row>
    <row r="318" spans="1:8" ht="15.75" customHeight="1">
      <c r="A318" s="304"/>
      <c r="B318" s="305"/>
      <c r="F318" s="306"/>
      <c r="G318" s="306"/>
      <c r="H318" s="306"/>
    </row>
    <row r="319" spans="1:8" ht="15.75" customHeight="1">
      <c r="A319" s="304"/>
      <c r="B319" s="305"/>
      <c r="F319" s="306"/>
      <c r="G319" s="306"/>
      <c r="H319" s="306"/>
    </row>
    <row r="320" spans="1:8" ht="15.75" customHeight="1">
      <c r="A320" s="304"/>
      <c r="B320" s="305"/>
      <c r="F320" s="306"/>
      <c r="G320" s="306"/>
      <c r="H320" s="306"/>
    </row>
    <row r="321" spans="1:8" ht="15.75" customHeight="1">
      <c r="A321" s="304"/>
      <c r="B321" s="305"/>
      <c r="F321" s="306"/>
      <c r="G321" s="306"/>
      <c r="H321" s="306"/>
    </row>
    <row r="322" spans="1:8" ht="15.75" customHeight="1">
      <c r="A322" s="304"/>
      <c r="B322" s="305"/>
      <c r="F322" s="306"/>
      <c r="G322" s="306"/>
      <c r="H322" s="306"/>
    </row>
    <row r="323" spans="1:8" ht="15.75" customHeight="1">
      <c r="A323" s="304"/>
      <c r="B323" s="305"/>
      <c r="F323" s="306"/>
      <c r="G323" s="306"/>
      <c r="H323" s="306"/>
    </row>
    <row r="324" spans="1:8" ht="15.75" customHeight="1">
      <c r="A324" s="304"/>
      <c r="B324" s="305"/>
      <c r="F324" s="306"/>
      <c r="G324" s="306"/>
      <c r="H324" s="306"/>
    </row>
    <row r="325" spans="1:8" ht="15.75" customHeight="1">
      <c r="A325" s="304"/>
      <c r="B325" s="305"/>
      <c r="F325" s="306"/>
      <c r="G325" s="306"/>
      <c r="H325" s="306"/>
    </row>
    <row r="326" spans="1:8" ht="15.75" customHeight="1">
      <c r="A326" s="304"/>
      <c r="B326" s="305"/>
      <c r="F326" s="306"/>
      <c r="G326" s="306"/>
      <c r="H326" s="306"/>
    </row>
    <row r="327" spans="1:8" ht="15.75" customHeight="1">
      <c r="A327" s="304"/>
      <c r="B327" s="305"/>
      <c r="F327" s="306"/>
      <c r="G327" s="306"/>
      <c r="H327" s="306"/>
    </row>
    <row r="328" spans="1:8" ht="15.75" customHeight="1">
      <c r="A328" s="304"/>
      <c r="B328" s="305"/>
      <c r="F328" s="306"/>
      <c r="G328" s="306"/>
      <c r="H328" s="306"/>
    </row>
    <row r="329" spans="1:8" ht="15.75" customHeight="1">
      <c r="A329" s="304"/>
      <c r="B329" s="305"/>
      <c r="F329" s="306"/>
      <c r="G329" s="306"/>
      <c r="H329" s="306"/>
    </row>
    <row r="330" spans="1:8" ht="15.75" customHeight="1">
      <c r="A330" s="304"/>
      <c r="B330" s="305"/>
      <c r="F330" s="306"/>
      <c r="G330" s="306"/>
      <c r="H330" s="306"/>
    </row>
    <row r="331" spans="1:8" ht="15.75" customHeight="1">
      <c r="A331" s="304"/>
      <c r="B331" s="305"/>
      <c r="F331" s="306"/>
      <c r="G331" s="306"/>
      <c r="H331" s="306"/>
    </row>
    <row r="332" spans="1:8" ht="15.75" customHeight="1">
      <c r="A332" s="304"/>
      <c r="B332" s="305"/>
      <c r="F332" s="306"/>
      <c r="G332" s="306"/>
      <c r="H332" s="306"/>
    </row>
    <row r="333" spans="1:8" ht="15.75" customHeight="1">
      <c r="A333" s="304"/>
      <c r="B333" s="305"/>
      <c r="F333" s="306"/>
      <c r="G333" s="306"/>
      <c r="H333" s="306"/>
    </row>
    <row r="334" spans="1:8" ht="15.75" customHeight="1">
      <c r="A334" s="304"/>
      <c r="B334" s="305"/>
      <c r="F334" s="306"/>
      <c r="G334" s="306"/>
      <c r="H334" s="306"/>
    </row>
    <row r="335" spans="1:8" ht="15.75" customHeight="1">
      <c r="A335" s="304"/>
      <c r="B335" s="305"/>
      <c r="F335" s="306"/>
      <c r="G335" s="306"/>
      <c r="H335" s="306"/>
    </row>
    <row r="336" spans="1:8" ht="15.75" customHeight="1">
      <c r="A336" s="304"/>
      <c r="B336" s="305"/>
      <c r="F336" s="306"/>
      <c r="G336" s="306"/>
      <c r="H336" s="306"/>
    </row>
    <row r="337" spans="1:8" ht="15.75" customHeight="1">
      <c r="A337" s="304"/>
      <c r="B337" s="305"/>
      <c r="F337" s="306"/>
      <c r="G337" s="306"/>
      <c r="H337" s="306"/>
    </row>
    <row r="338" spans="1:8" ht="15.75" customHeight="1">
      <c r="A338" s="304"/>
      <c r="B338" s="305"/>
      <c r="F338" s="306"/>
      <c r="G338" s="306"/>
      <c r="H338" s="306"/>
    </row>
    <row r="339" spans="1:8" ht="15.75" customHeight="1">
      <c r="A339" s="304"/>
      <c r="B339" s="305"/>
      <c r="F339" s="306"/>
      <c r="G339" s="306"/>
      <c r="H339" s="306"/>
    </row>
    <row r="340" spans="1:8" ht="15.75" customHeight="1">
      <c r="A340" s="304"/>
      <c r="B340" s="305"/>
      <c r="F340" s="306"/>
      <c r="G340" s="306"/>
      <c r="H340" s="306"/>
    </row>
    <row r="341" spans="1:8" ht="15.75" customHeight="1">
      <c r="A341" s="304"/>
      <c r="B341" s="305"/>
      <c r="F341" s="306"/>
      <c r="G341" s="306"/>
      <c r="H341" s="306"/>
    </row>
    <row r="342" spans="1:8" ht="15.75" customHeight="1">
      <c r="A342" s="304"/>
      <c r="B342" s="305"/>
      <c r="F342" s="306"/>
      <c r="G342" s="306"/>
      <c r="H342" s="306"/>
    </row>
    <row r="343" spans="1:8" ht="15.75" customHeight="1">
      <c r="A343" s="304"/>
      <c r="B343" s="305"/>
      <c r="F343" s="306"/>
      <c r="G343" s="306"/>
      <c r="H343" s="306"/>
    </row>
    <row r="344" spans="1:8" ht="15.75" customHeight="1">
      <c r="A344" s="304"/>
      <c r="B344" s="305"/>
      <c r="F344" s="306"/>
      <c r="G344" s="306"/>
      <c r="H344" s="306"/>
    </row>
    <row r="345" spans="1:8" ht="15.75" customHeight="1">
      <c r="A345" s="304"/>
      <c r="B345" s="305"/>
      <c r="F345" s="306"/>
      <c r="G345" s="306"/>
      <c r="H345" s="306"/>
    </row>
    <row r="346" spans="1:8" ht="15.75" customHeight="1">
      <c r="A346" s="304"/>
      <c r="B346" s="305"/>
      <c r="F346" s="306"/>
      <c r="G346" s="306"/>
      <c r="H346" s="306"/>
    </row>
    <row r="347" spans="1:8" ht="15.75" customHeight="1">
      <c r="A347" s="304"/>
      <c r="B347" s="305"/>
      <c r="F347" s="306"/>
      <c r="G347" s="306"/>
      <c r="H347" s="306"/>
    </row>
    <row r="348" spans="1:8" ht="15.75" customHeight="1">
      <c r="A348" s="304"/>
      <c r="B348" s="305"/>
      <c r="F348" s="306"/>
      <c r="G348" s="306"/>
      <c r="H348" s="306"/>
    </row>
    <row r="349" spans="1:8" ht="15.75" customHeight="1">
      <c r="A349" s="304"/>
      <c r="B349" s="305"/>
      <c r="F349" s="306"/>
      <c r="G349" s="306"/>
      <c r="H349" s="306"/>
    </row>
    <row r="350" spans="1:8" ht="15.75" customHeight="1">
      <c r="A350" s="304"/>
      <c r="B350" s="305"/>
      <c r="F350" s="306"/>
      <c r="G350" s="306"/>
      <c r="H350" s="306"/>
    </row>
    <row r="351" spans="1:8" ht="15.75" customHeight="1">
      <c r="A351" s="304"/>
      <c r="B351" s="305"/>
      <c r="F351" s="306"/>
      <c r="G351" s="306"/>
      <c r="H351" s="306"/>
    </row>
    <row r="352" spans="1:8" ht="15.75" customHeight="1">
      <c r="A352" s="304"/>
      <c r="B352" s="305"/>
      <c r="F352" s="306"/>
      <c r="G352" s="306"/>
      <c r="H352" s="306"/>
    </row>
    <row r="353" spans="1:8" ht="15.75" customHeight="1">
      <c r="A353" s="304"/>
      <c r="B353" s="305"/>
      <c r="F353" s="306"/>
      <c r="G353" s="306"/>
      <c r="H353" s="306"/>
    </row>
    <row r="354" spans="1:8" ht="15.75" customHeight="1">
      <c r="A354" s="304"/>
      <c r="B354" s="305"/>
      <c r="F354" s="306"/>
      <c r="G354" s="306"/>
      <c r="H354" s="306"/>
    </row>
    <row r="355" spans="1:8" ht="15.75" customHeight="1">
      <c r="A355" s="304"/>
      <c r="B355" s="305"/>
      <c r="F355" s="306"/>
      <c r="G355" s="306"/>
      <c r="H355" s="306"/>
    </row>
    <row r="356" spans="1:8" ht="15.75" customHeight="1">
      <c r="A356" s="304"/>
      <c r="B356" s="305"/>
      <c r="F356" s="306"/>
      <c r="G356" s="306"/>
      <c r="H356" s="306"/>
    </row>
    <row r="357" spans="1:8" ht="15.75" customHeight="1">
      <c r="A357" s="304"/>
      <c r="B357" s="305"/>
      <c r="F357" s="306"/>
      <c r="G357" s="306"/>
      <c r="H357" s="306"/>
    </row>
    <row r="358" spans="1:8" ht="15.75" customHeight="1">
      <c r="A358" s="304"/>
      <c r="B358" s="305"/>
      <c r="F358" s="306"/>
      <c r="G358" s="306"/>
      <c r="H358" s="306"/>
    </row>
    <row r="359" spans="1:8" ht="15.75" customHeight="1">
      <c r="A359" s="304"/>
      <c r="B359" s="305"/>
      <c r="F359" s="306"/>
      <c r="G359" s="306"/>
      <c r="H359" s="306"/>
    </row>
    <row r="360" spans="1:8" ht="15.75" customHeight="1">
      <c r="A360" s="304"/>
      <c r="B360" s="305"/>
      <c r="F360" s="306"/>
      <c r="G360" s="306"/>
      <c r="H360" s="306"/>
    </row>
    <row r="361" spans="1:8" ht="15.75" customHeight="1">
      <c r="A361" s="304"/>
      <c r="B361" s="305"/>
      <c r="F361" s="306"/>
      <c r="G361" s="306"/>
      <c r="H361" s="306"/>
    </row>
    <row r="362" spans="1:8" ht="15.75" customHeight="1">
      <c r="A362" s="304"/>
      <c r="B362" s="305"/>
      <c r="F362" s="306"/>
      <c r="G362" s="306"/>
      <c r="H362" s="306"/>
    </row>
    <row r="363" spans="1:8" ht="15.75" customHeight="1">
      <c r="A363" s="304"/>
      <c r="B363" s="305"/>
      <c r="F363" s="306"/>
      <c r="G363" s="306"/>
      <c r="H363" s="306"/>
    </row>
    <row r="364" spans="1:8" ht="15.75" customHeight="1">
      <c r="A364" s="304"/>
      <c r="B364" s="305"/>
      <c r="F364" s="306"/>
      <c r="G364" s="306"/>
      <c r="H364" s="306"/>
    </row>
    <row r="365" spans="1:8" ht="15.75" customHeight="1">
      <c r="A365" s="304"/>
      <c r="B365" s="305"/>
      <c r="F365" s="306"/>
      <c r="G365" s="306"/>
      <c r="H365" s="306"/>
    </row>
    <row r="366" spans="1:8" ht="15.75" customHeight="1">
      <c r="A366" s="304"/>
      <c r="B366" s="305"/>
      <c r="F366" s="306"/>
      <c r="G366" s="306"/>
      <c r="H366" s="306"/>
    </row>
    <row r="367" spans="1:8" ht="15.75" customHeight="1">
      <c r="A367" s="304"/>
      <c r="B367" s="305"/>
      <c r="F367" s="306"/>
      <c r="G367" s="306"/>
      <c r="H367" s="306"/>
    </row>
    <row r="368" spans="1:8" ht="15.75" customHeight="1">
      <c r="A368" s="304"/>
      <c r="B368" s="305"/>
      <c r="F368" s="306"/>
      <c r="G368" s="306"/>
      <c r="H368" s="306"/>
    </row>
    <row r="369" spans="1:8" ht="15.75" customHeight="1">
      <c r="A369" s="304"/>
      <c r="B369" s="305"/>
      <c r="F369" s="306"/>
      <c r="G369" s="306"/>
      <c r="H369" s="306"/>
    </row>
    <row r="370" spans="1:8" ht="15.75" customHeight="1">
      <c r="A370" s="304"/>
      <c r="B370" s="305"/>
      <c r="F370" s="306"/>
      <c r="G370" s="306"/>
      <c r="H370" s="306"/>
    </row>
    <row r="371" spans="1:8" ht="15.75" customHeight="1">
      <c r="A371" s="304"/>
      <c r="B371" s="305"/>
      <c r="F371" s="306"/>
      <c r="G371" s="306"/>
      <c r="H371" s="306"/>
    </row>
    <row r="372" spans="1:8" ht="15.75" customHeight="1">
      <c r="A372" s="304"/>
      <c r="B372" s="305"/>
      <c r="F372" s="306"/>
      <c r="G372" s="306"/>
      <c r="H372" s="306"/>
    </row>
    <row r="373" spans="1:8" ht="15.75" customHeight="1">
      <c r="A373" s="304"/>
      <c r="B373" s="305"/>
      <c r="F373" s="306"/>
      <c r="G373" s="306"/>
      <c r="H373" s="306"/>
    </row>
    <row r="374" spans="1:8" ht="15.75" customHeight="1">
      <c r="A374" s="304"/>
      <c r="B374" s="305"/>
      <c r="F374" s="306"/>
      <c r="G374" s="306"/>
      <c r="H374" s="306"/>
    </row>
    <row r="375" spans="1:8" ht="15.75" customHeight="1">
      <c r="A375" s="304"/>
      <c r="B375" s="305"/>
      <c r="F375" s="306"/>
      <c r="G375" s="306"/>
      <c r="H375" s="306"/>
    </row>
    <row r="376" spans="1:8" ht="15.75" customHeight="1">
      <c r="A376" s="304"/>
      <c r="B376" s="305"/>
      <c r="F376" s="306"/>
      <c r="G376" s="306"/>
      <c r="H376" s="306"/>
    </row>
    <row r="377" spans="1:8" ht="15.75" customHeight="1">
      <c r="A377" s="304"/>
      <c r="B377" s="305"/>
      <c r="F377" s="306"/>
      <c r="G377" s="306"/>
      <c r="H377" s="306"/>
    </row>
    <row r="378" spans="1:8" ht="15.75" customHeight="1">
      <c r="A378" s="304"/>
      <c r="B378" s="305"/>
      <c r="F378" s="306"/>
      <c r="G378" s="306"/>
      <c r="H378" s="306"/>
    </row>
    <row r="379" spans="1:8" ht="15.75" customHeight="1">
      <c r="A379" s="304"/>
      <c r="B379" s="305"/>
      <c r="F379" s="306"/>
      <c r="G379" s="306"/>
      <c r="H379" s="306"/>
    </row>
    <row r="380" spans="1:8" ht="15.75" customHeight="1">
      <c r="A380" s="304"/>
      <c r="B380" s="305"/>
      <c r="F380" s="306"/>
      <c r="G380" s="306"/>
      <c r="H380" s="306"/>
    </row>
    <row r="381" spans="1:8" ht="15.75" customHeight="1">
      <c r="A381" s="304"/>
      <c r="B381" s="305"/>
      <c r="F381" s="306"/>
      <c r="G381" s="306"/>
      <c r="H381" s="306"/>
    </row>
    <row r="382" spans="1:8" ht="15.75" customHeight="1">
      <c r="A382" s="304"/>
      <c r="B382" s="305"/>
      <c r="F382" s="306"/>
      <c r="G382" s="306"/>
      <c r="H382" s="306"/>
    </row>
    <row r="383" spans="1:8" ht="15.75" customHeight="1">
      <c r="A383" s="304"/>
      <c r="B383" s="305"/>
      <c r="F383" s="306"/>
      <c r="G383" s="306"/>
      <c r="H383" s="306"/>
    </row>
    <row r="384" spans="1:8" ht="15.75" customHeight="1">
      <c r="A384" s="304"/>
      <c r="B384" s="305"/>
      <c r="F384" s="306"/>
      <c r="G384" s="306"/>
      <c r="H384" s="306"/>
    </row>
    <row r="385" spans="1:8" ht="15.75" customHeight="1">
      <c r="A385" s="304"/>
      <c r="B385" s="305"/>
      <c r="F385" s="306"/>
      <c r="G385" s="306"/>
      <c r="H385" s="306"/>
    </row>
    <row r="386" spans="1:8" ht="15.75" customHeight="1">
      <c r="A386" s="304"/>
      <c r="B386" s="305"/>
      <c r="F386" s="306"/>
      <c r="G386" s="306"/>
      <c r="H386" s="306"/>
    </row>
    <row r="387" spans="1:8" ht="15.75" customHeight="1">
      <c r="A387" s="304"/>
      <c r="B387" s="305"/>
      <c r="F387" s="306"/>
      <c r="G387" s="306"/>
      <c r="H387" s="306"/>
    </row>
    <row r="388" spans="1:8" ht="15.75" customHeight="1">
      <c r="A388" s="304"/>
      <c r="B388" s="305"/>
      <c r="F388" s="306"/>
      <c r="G388" s="306"/>
      <c r="H388" s="306"/>
    </row>
    <row r="389" spans="1:8" ht="15.75" customHeight="1">
      <c r="A389" s="304"/>
      <c r="B389" s="305"/>
      <c r="F389" s="306"/>
      <c r="G389" s="306"/>
      <c r="H389" s="306"/>
    </row>
    <row r="390" spans="1:8" ht="15.75" customHeight="1">
      <c r="A390" s="304"/>
      <c r="B390" s="305"/>
      <c r="F390" s="306"/>
      <c r="G390" s="306"/>
      <c r="H390" s="306"/>
    </row>
    <row r="391" spans="1:8" ht="15.75" customHeight="1">
      <c r="A391" s="304"/>
      <c r="B391" s="305"/>
      <c r="F391" s="306"/>
      <c r="G391" s="306"/>
      <c r="H391" s="306"/>
    </row>
    <row r="392" spans="1:8" ht="15.75" customHeight="1">
      <c r="A392" s="304"/>
      <c r="B392" s="305"/>
      <c r="F392" s="306"/>
      <c r="G392" s="306"/>
      <c r="H392" s="306"/>
    </row>
    <row r="393" spans="1:8" ht="15.75" customHeight="1">
      <c r="A393" s="304"/>
      <c r="B393" s="305"/>
      <c r="F393" s="306"/>
      <c r="G393" s="306"/>
      <c r="H393" s="306"/>
    </row>
    <row r="394" spans="1:8" ht="15.75" customHeight="1">
      <c r="A394" s="304"/>
      <c r="B394" s="305"/>
      <c r="F394" s="306"/>
      <c r="G394" s="306"/>
      <c r="H394" s="306"/>
    </row>
    <row r="395" spans="1:8" ht="15.75" customHeight="1">
      <c r="A395" s="304"/>
      <c r="B395" s="305"/>
      <c r="F395" s="306"/>
      <c r="G395" s="306"/>
      <c r="H395" s="306"/>
    </row>
    <row r="396" spans="1:8" ht="15.75" customHeight="1">
      <c r="A396" s="304"/>
      <c r="B396" s="305"/>
      <c r="F396" s="306"/>
      <c r="G396" s="306"/>
      <c r="H396" s="306"/>
    </row>
    <row r="397" spans="1:8" ht="15.75" customHeight="1">
      <c r="A397" s="304"/>
      <c r="B397" s="305"/>
      <c r="F397" s="306"/>
      <c r="G397" s="306"/>
      <c r="H397" s="306"/>
    </row>
    <row r="398" spans="1:8" ht="15.75" customHeight="1">
      <c r="A398" s="304"/>
      <c r="B398" s="305"/>
      <c r="F398" s="306"/>
      <c r="G398" s="306"/>
      <c r="H398" s="306"/>
    </row>
    <row r="399" spans="1:8" ht="15.75" customHeight="1">
      <c r="A399" s="304"/>
      <c r="B399" s="305"/>
      <c r="F399" s="306"/>
      <c r="G399" s="306"/>
      <c r="H399" s="306"/>
    </row>
    <row r="400" spans="1:8" ht="15.75" customHeight="1">
      <c r="A400" s="304"/>
      <c r="B400" s="305"/>
      <c r="F400" s="306"/>
      <c r="G400" s="306"/>
      <c r="H400" s="306"/>
    </row>
    <row r="401" spans="1:8" ht="15.75" customHeight="1">
      <c r="A401" s="304"/>
      <c r="B401" s="305"/>
      <c r="F401" s="306"/>
      <c r="G401" s="306"/>
      <c r="H401" s="306"/>
    </row>
    <row r="402" spans="1:8" ht="15.75" customHeight="1">
      <c r="A402" s="304"/>
      <c r="B402" s="305"/>
      <c r="F402" s="306"/>
      <c r="G402" s="306"/>
      <c r="H402" s="306"/>
    </row>
    <row r="403" spans="1:8" ht="15.75" customHeight="1">
      <c r="A403" s="304"/>
      <c r="B403" s="305"/>
      <c r="F403" s="306"/>
      <c r="G403" s="306"/>
      <c r="H403" s="306"/>
    </row>
    <row r="404" spans="1:8" ht="15.75" customHeight="1">
      <c r="A404" s="304"/>
      <c r="B404" s="305"/>
      <c r="F404" s="306"/>
      <c r="G404" s="306"/>
      <c r="H404" s="306"/>
    </row>
    <row r="405" spans="1:8" ht="15.75" customHeight="1">
      <c r="A405" s="304"/>
      <c r="B405" s="305"/>
      <c r="F405" s="306"/>
      <c r="G405" s="306"/>
      <c r="H405" s="306"/>
    </row>
    <row r="406" spans="1:8" ht="15.75" customHeight="1">
      <c r="A406" s="304"/>
      <c r="B406" s="305"/>
      <c r="F406" s="306"/>
      <c r="G406" s="306"/>
      <c r="H406" s="306"/>
    </row>
    <row r="407" spans="1:8" ht="15.75" customHeight="1">
      <c r="A407" s="304"/>
      <c r="B407" s="305"/>
      <c r="F407" s="306"/>
      <c r="G407" s="306"/>
      <c r="H407" s="306"/>
    </row>
    <row r="408" spans="1:8" ht="15.75" customHeight="1">
      <c r="A408" s="304"/>
      <c r="B408" s="305"/>
      <c r="F408" s="306"/>
      <c r="G408" s="306"/>
      <c r="H408" s="306"/>
    </row>
    <row r="409" spans="1:8" ht="15.75" customHeight="1">
      <c r="A409" s="304"/>
      <c r="B409" s="305"/>
      <c r="F409" s="306"/>
      <c r="G409" s="306"/>
      <c r="H409" s="306"/>
    </row>
    <row r="410" spans="1:8" ht="15.75" customHeight="1">
      <c r="A410" s="304"/>
      <c r="B410" s="305"/>
      <c r="F410" s="306"/>
      <c r="G410" s="306"/>
      <c r="H410" s="306"/>
    </row>
    <row r="411" spans="1:8" ht="15.75" customHeight="1">
      <c r="A411" s="304"/>
      <c r="B411" s="305"/>
      <c r="F411" s="306"/>
      <c r="G411" s="306"/>
      <c r="H411" s="306"/>
    </row>
    <row r="412" spans="1:8" ht="15.75" customHeight="1">
      <c r="A412" s="304"/>
      <c r="B412" s="305"/>
      <c r="F412" s="306"/>
      <c r="G412" s="306"/>
      <c r="H412" s="306"/>
    </row>
    <row r="413" spans="1:8" ht="15.75" customHeight="1">
      <c r="A413" s="304"/>
      <c r="B413" s="305"/>
      <c r="F413" s="306"/>
      <c r="G413" s="306"/>
      <c r="H413" s="306"/>
    </row>
    <row r="414" spans="1:8" ht="15.75" customHeight="1">
      <c r="A414" s="304"/>
      <c r="B414" s="305"/>
      <c r="F414" s="306"/>
      <c r="G414" s="306"/>
      <c r="H414" s="306"/>
    </row>
    <row r="415" spans="1:8" ht="15.75" customHeight="1">
      <c r="A415" s="304"/>
      <c r="B415" s="305"/>
      <c r="F415" s="306"/>
      <c r="G415" s="306"/>
      <c r="H415" s="306"/>
    </row>
    <row r="416" spans="1:8" ht="15.75" customHeight="1">
      <c r="A416" s="304"/>
      <c r="B416" s="305"/>
      <c r="F416" s="306"/>
      <c r="G416" s="306"/>
      <c r="H416" s="306"/>
    </row>
    <row r="417" spans="1:8" ht="15.75" customHeight="1">
      <c r="A417" s="304"/>
      <c r="B417" s="305"/>
      <c r="F417" s="306"/>
      <c r="G417" s="306"/>
      <c r="H417" s="306"/>
    </row>
    <row r="418" spans="1:8" ht="15.75" customHeight="1">
      <c r="A418" s="304"/>
      <c r="B418" s="305"/>
      <c r="F418" s="306"/>
      <c r="G418" s="306"/>
      <c r="H418" s="306"/>
    </row>
    <row r="419" spans="1:8" ht="15.75" customHeight="1">
      <c r="A419" s="304"/>
      <c r="B419" s="305"/>
      <c r="F419" s="306"/>
      <c r="G419" s="306"/>
      <c r="H419" s="306"/>
    </row>
    <row r="420" spans="1:8" ht="15.75" customHeight="1">
      <c r="A420" s="304"/>
      <c r="B420" s="305"/>
      <c r="F420" s="306"/>
      <c r="G420" s="306"/>
      <c r="H420" s="306"/>
    </row>
    <row r="421" spans="1:8" ht="15.75" customHeight="1">
      <c r="A421" s="304"/>
      <c r="B421" s="305"/>
      <c r="F421" s="306"/>
      <c r="G421" s="306"/>
      <c r="H421" s="306"/>
    </row>
    <row r="422" spans="1:8" ht="15.75" customHeight="1">
      <c r="A422" s="304"/>
      <c r="B422" s="305"/>
      <c r="F422" s="306"/>
      <c r="G422" s="306"/>
      <c r="H422" s="306"/>
    </row>
    <row r="423" spans="1:8" ht="15.75" customHeight="1">
      <c r="A423" s="304"/>
      <c r="B423" s="305"/>
      <c r="F423" s="306"/>
      <c r="G423" s="306"/>
      <c r="H423" s="306"/>
    </row>
    <row r="424" spans="1:8" ht="15.75" customHeight="1">
      <c r="A424" s="304"/>
      <c r="B424" s="305"/>
      <c r="F424" s="306"/>
      <c r="G424" s="306"/>
      <c r="H424" s="306"/>
    </row>
    <row r="425" spans="1:8" ht="15.75" customHeight="1">
      <c r="A425" s="304"/>
      <c r="B425" s="305"/>
      <c r="F425" s="306"/>
      <c r="G425" s="306"/>
      <c r="H425" s="306"/>
    </row>
    <row r="426" spans="1:8" ht="15.75" customHeight="1">
      <c r="A426" s="304"/>
      <c r="B426" s="305"/>
      <c r="F426" s="306"/>
      <c r="G426" s="306"/>
      <c r="H426" s="306"/>
    </row>
    <row r="427" spans="1:8" ht="15.75" customHeight="1">
      <c r="A427" s="304"/>
      <c r="B427" s="305"/>
      <c r="F427" s="306"/>
      <c r="G427" s="306"/>
      <c r="H427" s="306"/>
    </row>
    <row r="428" spans="1:8" ht="15.75" customHeight="1">
      <c r="A428" s="304"/>
      <c r="B428" s="305"/>
      <c r="F428" s="306"/>
      <c r="G428" s="306"/>
      <c r="H428" s="306"/>
    </row>
    <row r="429" spans="1:8" ht="15.75" customHeight="1">
      <c r="A429" s="304"/>
      <c r="B429" s="305"/>
      <c r="F429" s="306"/>
      <c r="G429" s="306"/>
      <c r="H429" s="306"/>
    </row>
    <row r="430" spans="1:8" ht="15.75" customHeight="1">
      <c r="A430" s="304"/>
      <c r="B430" s="305"/>
      <c r="F430" s="306"/>
      <c r="G430" s="306"/>
      <c r="H430" s="306"/>
    </row>
    <row r="431" spans="1:8" ht="15.75" customHeight="1">
      <c r="A431" s="304"/>
      <c r="B431" s="305"/>
      <c r="F431" s="306"/>
      <c r="G431" s="306"/>
      <c r="H431" s="306"/>
    </row>
    <row r="432" spans="1:8" ht="15.75" customHeight="1">
      <c r="A432" s="304"/>
      <c r="B432" s="305"/>
      <c r="F432" s="306"/>
      <c r="G432" s="306"/>
      <c r="H432" s="306"/>
    </row>
    <row r="433" spans="1:8" ht="15.75" customHeight="1">
      <c r="A433" s="304"/>
      <c r="B433" s="305"/>
      <c r="F433" s="306"/>
      <c r="G433" s="306"/>
      <c r="H433" s="306"/>
    </row>
    <row r="434" spans="1:8" ht="15.75" customHeight="1">
      <c r="A434" s="304"/>
      <c r="B434" s="305"/>
      <c r="F434" s="306"/>
      <c r="G434" s="306"/>
      <c r="H434" s="306"/>
    </row>
    <row r="435" spans="1:8" ht="15.75" customHeight="1">
      <c r="A435" s="304"/>
      <c r="B435" s="305"/>
      <c r="F435" s="306"/>
      <c r="G435" s="306"/>
      <c r="H435" s="306"/>
    </row>
    <row r="436" spans="1:8" ht="15.75" customHeight="1">
      <c r="A436" s="304"/>
      <c r="B436" s="305"/>
      <c r="F436" s="306"/>
      <c r="G436" s="306"/>
      <c r="H436" s="306"/>
    </row>
    <row r="437" spans="1:8" ht="15.75" customHeight="1">
      <c r="A437" s="304"/>
      <c r="B437" s="305"/>
      <c r="F437" s="306"/>
      <c r="G437" s="306"/>
      <c r="H437" s="306"/>
    </row>
    <row r="438" spans="1:8" ht="15.75" customHeight="1">
      <c r="A438" s="304"/>
      <c r="B438" s="305"/>
      <c r="F438" s="306"/>
      <c r="G438" s="306"/>
      <c r="H438" s="306"/>
    </row>
    <row r="439" spans="1:8" ht="15.75" customHeight="1">
      <c r="A439" s="304"/>
      <c r="B439" s="305"/>
      <c r="F439" s="306"/>
      <c r="G439" s="306"/>
      <c r="H439" s="306"/>
    </row>
    <row r="440" spans="1:8" ht="15.75" customHeight="1">
      <c r="A440" s="304"/>
      <c r="B440" s="305"/>
      <c r="F440" s="306"/>
      <c r="G440" s="306"/>
      <c r="H440" s="306"/>
    </row>
    <row r="441" spans="1:8" ht="15.75" customHeight="1">
      <c r="A441" s="304"/>
      <c r="B441" s="305"/>
      <c r="F441" s="306"/>
      <c r="G441" s="306"/>
      <c r="H441" s="306"/>
    </row>
    <row r="442" spans="1:8" ht="15.75" customHeight="1">
      <c r="A442" s="304"/>
      <c r="B442" s="305"/>
      <c r="F442" s="306"/>
      <c r="G442" s="306"/>
      <c r="H442" s="306"/>
    </row>
    <row r="443" spans="1:8" ht="15.75" customHeight="1">
      <c r="A443" s="304"/>
      <c r="B443" s="305"/>
      <c r="F443" s="306"/>
      <c r="G443" s="306"/>
      <c r="H443" s="306"/>
    </row>
    <row r="444" spans="1:8" ht="15.75" customHeight="1">
      <c r="A444" s="304"/>
      <c r="B444" s="305"/>
      <c r="F444" s="306"/>
      <c r="G444" s="306"/>
      <c r="H444" s="306"/>
    </row>
    <row r="445" spans="1:8" ht="15.75" customHeight="1">
      <c r="A445" s="304"/>
      <c r="B445" s="305"/>
      <c r="F445" s="306"/>
      <c r="G445" s="306"/>
      <c r="H445" s="306"/>
    </row>
    <row r="446" spans="1:8" ht="15.75" customHeight="1">
      <c r="A446" s="304"/>
      <c r="B446" s="305"/>
      <c r="F446" s="306"/>
      <c r="G446" s="306"/>
      <c r="H446" s="306"/>
    </row>
    <row r="447" spans="1:8" ht="15.75" customHeight="1">
      <c r="A447" s="304"/>
      <c r="B447" s="305"/>
      <c r="F447" s="306"/>
      <c r="G447" s="306"/>
      <c r="H447" s="306"/>
    </row>
    <row r="448" spans="1:8" ht="15.75" customHeight="1">
      <c r="A448" s="304"/>
      <c r="B448" s="305"/>
      <c r="F448" s="306"/>
      <c r="G448" s="306"/>
      <c r="H448" s="306"/>
    </row>
    <row r="449" spans="1:8" ht="15.75" customHeight="1">
      <c r="A449" s="304"/>
      <c r="B449" s="305"/>
      <c r="F449" s="306"/>
      <c r="G449" s="306"/>
      <c r="H449" s="306"/>
    </row>
    <row r="450" spans="1:8" ht="15.75" customHeight="1">
      <c r="A450" s="304"/>
      <c r="B450" s="305"/>
      <c r="F450" s="306"/>
      <c r="G450" s="306"/>
      <c r="H450" s="306"/>
    </row>
    <row r="451" spans="1:8" ht="15.75" customHeight="1">
      <c r="A451" s="304"/>
      <c r="B451" s="305"/>
      <c r="F451" s="306"/>
      <c r="G451" s="306"/>
      <c r="H451" s="306"/>
    </row>
    <row r="452" spans="1:8" ht="15.75" customHeight="1">
      <c r="A452" s="304"/>
      <c r="B452" s="305"/>
      <c r="F452" s="306"/>
      <c r="G452" s="306"/>
      <c r="H452" s="306"/>
    </row>
    <row r="453" spans="1:8" ht="15.75" customHeight="1">
      <c r="A453" s="304"/>
      <c r="B453" s="305"/>
      <c r="F453" s="306"/>
      <c r="G453" s="306"/>
      <c r="H453" s="306"/>
    </row>
    <row r="454" spans="1:8" ht="15.75" customHeight="1">
      <c r="A454" s="304"/>
      <c r="B454" s="305"/>
      <c r="F454" s="306"/>
      <c r="G454" s="306"/>
      <c r="H454" s="306"/>
    </row>
    <row r="455" spans="1:8" ht="15.75" customHeight="1">
      <c r="A455" s="304"/>
      <c r="B455" s="305"/>
      <c r="F455" s="306"/>
      <c r="G455" s="306"/>
      <c r="H455" s="306"/>
    </row>
    <row r="456" spans="1:8" ht="15.75" customHeight="1">
      <c r="A456" s="304"/>
      <c r="B456" s="305"/>
      <c r="F456" s="306"/>
      <c r="G456" s="306"/>
      <c r="H456" s="306"/>
    </row>
    <row r="457" spans="1:8" ht="15.75" customHeight="1">
      <c r="A457" s="304"/>
      <c r="B457" s="305"/>
      <c r="F457" s="306"/>
      <c r="G457" s="306"/>
      <c r="H457" s="306"/>
    </row>
    <row r="458" spans="1:8" ht="15.75" customHeight="1">
      <c r="A458" s="304"/>
      <c r="B458" s="305"/>
      <c r="F458" s="306"/>
      <c r="G458" s="306"/>
      <c r="H458" s="306"/>
    </row>
    <row r="459" spans="1:8" ht="15.75" customHeight="1">
      <c r="A459" s="304"/>
      <c r="B459" s="305"/>
      <c r="F459" s="306"/>
      <c r="G459" s="306"/>
      <c r="H459" s="306"/>
    </row>
    <row r="460" spans="1:8" ht="15.75" customHeight="1">
      <c r="A460" s="304"/>
      <c r="B460" s="305"/>
      <c r="F460" s="306"/>
      <c r="G460" s="306"/>
      <c r="H460" s="306"/>
    </row>
    <row r="461" spans="1:8" ht="15.75" customHeight="1">
      <c r="A461" s="304"/>
      <c r="B461" s="305"/>
      <c r="F461" s="306"/>
      <c r="G461" s="306"/>
      <c r="H461" s="306"/>
    </row>
    <row r="462" spans="1:8" ht="15.75" customHeight="1">
      <c r="A462" s="304"/>
      <c r="B462" s="305"/>
      <c r="F462" s="306"/>
      <c r="G462" s="306"/>
      <c r="H462" s="306"/>
    </row>
    <row r="463" spans="1:8" ht="15.75" customHeight="1">
      <c r="A463" s="304"/>
      <c r="B463" s="305"/>
      <c r="F463" s="306"/>
      <c r="G463" s="306"/>
      <c r="H463" s="306"/>
    </row>
    <row r="464" spans="1:8" ht="15.75" customHeight="1">
      <c r="A464" s="304"/>
      <c r="B464" s="305"/>
      <c r="F464" s="306"/>
      <c r="G464" s="306"/>
      <c r="H464" s="306"/>
    </row>
    <row r="465" spans="1:8" ht="15.75" customHeight="1">
      <c r="A465" s="304"/>
      <c r="B465" s="305"/>
      <c r="F465" s="306"/>
      <c r="G465" s="306"/>
      <c r="H465" s="306"/>
    </row>
    <row r="466" spans="1:8" ht="15.75" customHeight="1">
      <c r="A466" s="304"/>
      <c r="B466" s="305"/>
      <c r="F466" s="306"/>
      <c r="G466" s="306"/>
      <c r="H466" s="306"/>
    </row>
    <row r="467" spans="1:8" ht="15.75" customHeight="1">
      <c r="A467" s="304"/>
      <c r="B467" s="305"/>
      <c r="F467" s="306"/>
      <c r="G467" s="306"/>
      <c r="H467" s="306"/>
    </row>
    <row r="468" spans="1:8" ht="15.75" customHeight="1">
      <c r="A468" s="304"/>
      <c r="B468" s="305"/>
      <c r="F468" s="306"/>
      <c r="G468" s="306"/>
      <c r="H468" s="306"/>
    </row>
    <row r="469" spans="1:8" ht="15.75" customHeight="1">
      <c r="A469" s="304"/>
      <c r="B469" s="305"/>
      <c r="F469" s="306"/>
      <c r="G469" s="306"/>
      <c r="H469" s="306"/>
    </row>
    <row r="470" spans="1:8" ht="15.75" customHeight="1">
      <c r="A470" s="304"/>
      <c r="B470" s="305"/>
      <c r="F470" s="306"/>
      <c r="G470" s="306"/>
      <c r="H470" s="306"/>
    </row>
    <row r="471" spans="1:8" ht="15.75" customHeight="1">
      <c r="A471" s="304"/>
      <c r="B471" s="305"/>
      <c r="F471" s="306"/>
      <c r="G471" s="306"/>
      <c r="H471" s="306"/>
    </row>
    <row r="472" spans="1:8" ht="15.75" customHeight="1">
      <c r="A472" s="304"/>
      <c r="B472" s="305"/>
      <c r="F472" s="306"/>
      <c r="G472" s="306"/>
      <c r="H472" s="306"/>
    </row>
    <row r="473" spans="1:8" ht="15.75" customHeight="1">
      <c r="A473" s="304"/>
      <c r="B473" s="305"/>
      <c r="F473" s="306"/>
      <c r="G473" s="306"/>
      <c r="H473" s="306"/>
    </row>
    <row r="474" spans="1:8" ht="15.75" customHeight="1">
      <c r="A474" s="304"/>
      <c r="B474" s="305"/>
      <c r="F474" s="306"/>
      <c r="G474" s="306"/>
      <c r="H474" s="306"/>
    </row>
    <row r="475" spans="1:8" ht="15.75" customHeight="1">
      <c r="A475" s="304"/>
      <c r="B475" s="305"/>
      <c r="F475" s="306"/>
      <c r="G475" s="306"/>
      <c r="H475" s="306"/>
    </row>
    <row r="476" spans="1:8" ht="15.75" customHeight="1">
      <c r="A476" s="304"/>
      <c r="B476" s="305"/>
      <c r="F476" s="306"/>
      <c r="G476" s="306"/>
      <c r="H476" s="306"/>
    </row>
    <row r="477" spans="1:8" ht="15.75" customHeight="1">
      <c r="A477" s="304"/>
      <c r="B477" s="305"/>
      <c r="F477" s="306"/>
      <c r="G477" s="306"/>
      <c r="H477" s="306"/>
    </row>
    <row r="478" spans="1:8" ht="15.75" customHeight="1">
      <c r="A478" s="304"/>
      <c r="B478" s="305"/>
      <c r="F478" s="306"/>
      <c r="G478" s="306"/>
      <c r="H478" s="306"/>
    </row>
    <row r="479" spans="1:8" ht="15.75" customHeight="1">
      <c r="A479" s="304"/>
      <c r="B479" s="305"/>
      <c r="F479" s="306"/>
      <c r="G479" s="306"/>
      <c r="H479" s="306"/>
    </row>
    <row r="480" spans="1:8" ht="15.75" customHeight="1">
      <c r="A480" s="304"/>
      <c r="B480" s="305"/>
      <c r="F480" s="306"/>
      <c r="G480" s="306"/>
      <c r="H480" s="306"/>
    </row>
    <row r="481" spans="1:8" ht="15.75" customHeight="1">
      <c r="A481" s="304"/>
      <c r="B481" s="305"/>
      <c r="F481" s="306"/>
      <c r="G481" s="306"/>
      <c r="H481" s="306"/>
    </row>
    <row r="482" spans="1:8" ht="15.75" customHeight="1">
      <c r="A482" s="304"/>
      <c r="B482" s="305"/>
      <c r="F482" s="306"/>
      <c r="G482" s="306"/>
      <c r="H482" s="306"/>
    </row>
    <row r="483" spans="1:8" ht="15.75" customHeight="1">
      <c r="A483" s="304"/>
      <c r="B483" s="305"/>
      <c r="F483" s="306"/>
      <c r="G483" s="306"/>
      <c r="H483" s="306"/>
    </row>
    <row r="484" spans="1:8" ht="15.75" customHeight="1">
      <c r="A484" s="304"/>
      <c r="B484" s="305"/>
      <c r="F484" s="306"/>
      <c r="G484" s="306"/>
      <c r="H484" s="306"/>
    </row>
    <row r="485" spans="1:8" ht="15.75" customHeight="1">
      <c r="A485" s="304"/>
      <c r="B485" s="305"/>
      <c r="F485" s="306"/>
      <c r="G485" s="306"/>
      <c r="H485" s="306"/>
    </row>
    <row r="486" spans="1:8" ht="15.75" customHeight="1">
      <c r="A486" s="304"/>
      <c r="B486" s="305"/>
      <c r="F486" s="306"/>
      <c r="G486" s="306"/>
      <c r="H486" s="306"/>
    </row>
    <row r="487" spans="1:8" ht="15.75" customHeight="1">
      <c r="A487" s="304"/>
      <c r="B487" s="305"/>
      <c r="F487" s="306"/>
      <c r="G487" s="306"/>
      <c r="H487" s="306"/>
    </row>
    <row r="488" spans="1:8" ht="15.75" customHeight="1">
      <c r="A488" s="304"/>
      <c r="B488" s="305"/>
      <c r="F488" s="306"/>
      <c r="G488" s="306"/>
      <c r="H488" s="306"/>
    </row>
    <row r="489" spans="1:8" ht="15.75" customHeight="1">
      <c r="A489" s="304"/>
      <c r="B489" s="305"/>
      <c r="F489" s="306"/>
      <c r="G489" s="306"/>
      <c r="H489" s="306"/>
    </row>
    <row r="490" spans="1:8" ht="15.75" customHeight="1">
      <c r="A490" s="304"/>
      <c r="B490" s="305"/>
      <c r="F490" s="306"/>
      <c r="G490" s="306"/>
      <c r="H490" s="306"/>
    </row>
    <row r="491" spans="1:8" ht="15.75" customHeight="1">
      <c r="A491" s="304"/>
      <c r="B491" s="305"/>
      <c r="F491" s="306"/>
      <c r="G491" s="306"/>
      <c r="H491" s="306"/>
    </row>
    <row r="492" spans="1:8" ht="15.75" customHeight="1">
      <c r="A492" s="304"/>
      <c r="B492" s="305"/>
      <c r="F492" s="306"/>
      <c r="G492" s="306"/>
      <c r="H492" s="306"/>
    </row>
    <row r="493" spans="1:8" ht="15.75" customHeight="1">
      <c r="A493" s="304"/>
      <c r="B493" s="305"/>
      <c r="F493" s="306"/>
      <c r="G493" s="306"/>
      <c r="H493" s="306"/>
    </row>
    <row r="494" spans="1:8" ht="15.75" customHeight="1">
      <c r="A494" s="304"/>
      <c r="B494" s="305"/>
      <c r="F494" s="306"/>
      <c r="G494" s="306"/>
      <c r="H494" s="306"/>
    </row>
    <row r="495" spans="1:8" ht="15.75" customHeight="1">
      <c r="A495" s="304"/>
      <c r="B495" s="305"/>
      <c r="F495" s="306"/>
      <c r="G495" s="306"/>
      <c r="H495" s="306"/>
    </row>
    <row r="496" spans="1:8" ht="15.75" customHeight="1">
      <c r="A496" s="304"/>
      <c r="B496" s="305"/>
      <c r="F496" s="306"/>
      <c r="G496" s="306"/>
      <c r="H496" s="306"/>
    </row>
    <row r="497" spans="1:8" ht="15.75" customHeight="1">
      <c r="A497" s="304"/>
      <c r="B497" s="305"/>
      <c r="F497" s="306"/>
      <c r="G497" s="306"/>
      <c r="H497" s="306"/>
    </row>
    <row r="498" spans="1:8" ht="15.75" customHeight="1">
      <c r="A498" s="304"/>
      <c r="B498" s="305"/>
      <c r="F498" s="306"/>
      <c r="G498" s="306"/>
      <c r="H498" s="306"/>
    </row>
    <row r="499" spans="1:8" ht="15.75" customHeight="1">
      <c r="A499" s="304"/>
      <c r="B499" s="305"/>
      <c r="F499" s="306"/>
      <c r="G499" s="306"/>
      <c r="H499" s="306"/>
    </row>
    <row r="500" spans="1:8" ht="15.75" customHeight="1">
      <c r="A500" s="304"/>
      <c r="B500" s="305"/>
      <c r="F500" s="306"/>
      <c r="G500" s="306"/>
      <c r="H500" s="306"/>
    </row>
    <row r="501" spans="1:8" ht="15.75" customHeight="1">
      <c r="A501" s="304"/>
      <c r="B501" s="305"/>
      <c r="F501" s="306"/>
      <c r="G501" s="306"/>
      <c r="H501" s="306"/>
    </row>
    <row r="502" spans="1:8" ht="15.75" customHeight="1">
      <c r="A502" s="304"/>
      <c r="B502" s="305"/>
      <c r="F502" s="306"/>
      <c r="G502" s="306"/>
      <c r="H502" s="306"/>
    </row>
    <row r="503" spans="1:8" ht="15.75" customHeight="1">
      <c r="A503" s="304"/>
      <c r="B503" s="305"/>
      <c r="F503" s="306"/>
      <c r="G503" s="306"/>
      <c r="H503" s="306"/>
    </row>
    <row r="504" spans="1:8" ht="15.75" customHeight="1">
      <c r="A504" s="304"/>
      <c r="B504" s="305"/>
      <c r="F504" s="306"/>
      <c r="G504" s="306"/>
      <c r="H504" s="306"/>
    </row>
    <row r="505" spans="1:8" ht="15.75" customHeight="1">
      <c r="A505" s="304"/>
      <c r="B505" s="305"/>
      <c r="F505" s="306"/>
      <c r="G505" s="306"/>
      <c r="H505" s="306"/>
    </row>
    <row r="506" spans="1:8" ht="15.75" customHeight="1">
      <c r="A506" s="304"/>
      <c r="B506" s="305"/>
      <c r="F506" s="306"/>
      <c r="G506" s="306"/>
      <c r="H506" s="306"/>
    </row>
    <row r="507" spans="1:8" ht="15.75" customHeight="1">
      <c r="A507" s="304"/>
      <c r="B507" s="305"/>
      <c r="F507" s="306"/>
      <c r="G507" s="306"/>
      <c r="H507" s="306"/>
    </row>
    <row r="508" spans="1:8" ht="15.75" customHeight="1">
      <c r="A508" s="304"/>
      <c r="B508" s="305"/>
      <c r="F508" s="306"/>
      <c r="G508" s="306"/>
      <c r="H508" s="306"/>
    </row>
    <row r="509" spans="1:8" ht="15.75" customHeight="1">
      <c r="A509" s="304"/>
      <c r="B509" s="305"/>
      <c r="F509" s="306"/>
      <c r="G509" s="306"/>
      <c r="H509" s="306"/>
    </row>
    <row r="510" spans="1:8" ht="15.75" customHeight="1">
      <c r="A510" s="304"/>
      <c r="B510" s="305"/>
      <c r="F510" s="306"/>
      <c r="G510" s="306"/>
      <c r="H510" s="306"/>
    </row>
    <row r="511" spans="1:8" ht="15.75" customHeight="1">
      <c r="A511" s="304"/>
      <c r="B511" s="305"/>
      <c r="F511" s="306"/>
      <c r="G511" s="306"/>
      <c r="H511" s="306"/>
    </row>
    <row r="512" spans="1:8" ht="15.75" customHeight="1">
      <c r="A512" s="304"/>
      <c r="B512" s="305"/>
      <c r="F512" s="306"/>
      <c r="G512" s="306"/>
      <c r="H512" s="306"/>
    </row>
    <row r="513" spans="1:8" ht="15.75" customHeight="1">
      <c r="A513" s="304"/>
      <c r="B513" s="305"/>
      <c r="F513" s="306"/>
      <c r="G513" s="306"/>
      <c r="H513" s="306"/>
    </row>
    <row r="514" spans="1:8" ht="15.75" customHeight="1">
      <c r="A514" s="304"/>
      <c r="B514" s="305"/>
      <c r="F514" s="306"/>
      <c r="G514" s="306"/>
      <c r="H514" s="306"/>
    </row>
    <row r="515" spans="1:8" ht="15.75" customHeight="1">
      <c r="A515" s="304"/>
      <c r="B515" s="305"/>
      <c r="F515" s="306"/>
      <c r="G515" s="306"/>
      <c r="H515" s="306"/>
    </row>
    <row r="516" spans="1:8" ht="15.75" customHeight="1">
      <c r="A516" s="304"/>
      <c r="B516" s="305"/>
      <c r="F516" s="306"/>
      <c r="G516" s="306"/>
      <c r="H516" s="306"/>
    </row>
    <row r="517" spans="1:8" ht="15.75" customHeight="1">
      <c r="A517" s="304"/>
      <c r="B517" s="305"/>
      <c r="F517" s="306"/>
      <c r="G517" s="306"/>
      <c r="H517" s="306"/>
    </row>
    <row r="518" spans="1:8" ht="15.75" customHeight="1">
      <c r="A518" s="304"/>
      <c r="B518" s="305"/>
      <c r="F518" s="306"/>
      <c r="G518" s="306"/>
      <c r="H518" s="306"/>
    </row>
    <row r="519" spans="1:8" ht="15.75" customHeight="1">
      <c r="A519" s="304"/>
      <c r="B519" s="305"/>
      <c r="F519" s="306"/>
      <c r="G519" s="306"/>
      <c r="H519" s="306"/>
    </row>
    <row r="520" spans="1:8" ht="15.75" customHeight="1">
      <c r="A520" s="304"/>
      <c r="B520" s="305"/>
      <c r="F520" s="306"/>
      <c r="G520" s="306"/>
      <c r="H520" s="306"/>
    </row>
    <row r="521" spans="1:8" ht="15.75" customHeight="1">
      <c r="A521" s="304"/>
      <c r="B521" s="305"/>
      <c r="F521" s="306"/>
      <c r="G521" s="306"/>
      <c r="H521" s="306"/>
    </row>
    <row r="522" spans="1:8" ht="15.75" customHeight="1">
      <c r="A522" s="304"/>
      <c r="B522" s="305"/>
      <c r="F522" s="306"/>
      <c r="G522" s="306"/>
      <c r="H522" s="306"/>
    </row>
    <row r="523" spans="1:8" ht="15.75" customHeight="1">
      <c r="A523" s="304"/>
      <c r="B523" s="305"/>
      <c r="F523" s="306"/>
      <c r="G523" s="306"/>
      <c r="H523" s="306"/>
    </row>
    <row r="524" spans="1:8" ht="15.75" customHeight="1">
      <c r="A524" s="304"/>
      <c r="B524" s="305"/>
      <c r="F524" s="306"/>
      <c r="G524" s="306"/>
      <c r="H524" s="306"/>
    </row>
    <row r="525" spans="1:8" ht="15.75" customHeight="1">
      <c r="A525" s="304"/>
      <c r="B525" s="305"/>
      <c r="F525" s="306"/>
      <c r="G525" s="306"/>
      <c r="H525" s="306"/>
    </row>
    <row r="526" spans="1:8" ht="15.75" customHeight="1">
      <c r="A526" s="304"/>
      <c r="B526" s="305"/>
      <c r="F526" s="306"/>
      <c r="G526" s="306"/>
      <c r="H526" s="306"/>
    </row>
    <row r="527" spans="1:8" ht="15.75" customHeight="1">
      <c r="A527" s="304"/>
      <c r="B527" s="305"/>
      <c r="F527" s="306"/>
      <c r="G527" s="306"/>
      <c r="H527" s="306"/>
    </row>
    <row r="528" spans="1:8" ht="15.75" customHeight="1">
      <c r="A528" s="304"/>
      <c r="B528" s="305"/>
      <c r="F528" s="306"/>
      <c r="G528" s="306"/>
      <c r="H528" s="306"/>
    </row>
    <row r="529" spans="1:8" ht="15.75" customHeight="1">
      <c r="A529" s="304"/>
      <c r="B529" s="305"/>
      <c r="F529" s="306"/>
      <c r="G529" s="306"/>
      <c r="H529" s="306"/>
    </row>
    <row r="530" spans="1:8" ht="15.75" customHeight="1">
      <c r="A530" s="304"/>
      <c r="B530" s="305"/>
      <c r="F530" s="306"/>
      <c r="G530" s="306"/>
      <c r="H530" s="306"/>
    </row>
    <row r="531" spans="1:8" ht="15.75" customHeight="1">
      <c r="A531" s="304"/>
      <c r="B531" s="305"/>
      <c r="F531" s="306"/>
      <c r="G531" s="306"/>
      <c r="H531" s="306"/>
    </row>
    <row r="532" spans="1:8" ht="15.75" customHeight="1">
      <c r="A532" s="304"/>
      <c r="B532" s="305"/>
      <c r="F532" s="306"/>
      <c r="G532" s="306"/>
      <c r="H532" s="306"/>
    </row>
    <row r="533" spans="1:8" ht="15.75" customHeight="1">
      <c r="A533" s="304"/>
      <c r="B533" s="305"/>
      <c r="F533" s="306"/>
      <c r="G533" s="306"/>
      <c r="H533" s="306"/>
    </row>
    <row r="534" spans="1:8" ht="15.75" customHeight="1">
      <c r="A534" s="304"/>
      <c r="B534" s="305"/>
      <c r="F534" s="306"/>
      <c r="G534" s="306"/>
      <c r="H534" s="306"/>
    </row>
    <row r="535" spans="1:8" ht="15.75" customHeight="1">
      <c r="A535" s="304"/>
      <c r="B535" s="305"/>
      <c r="F535" s="306"/>
      <c r="G535" s="306"/>
      <c r="H535" s="306"/>
    </row>
    <row r="536" spans="1:8" ht="15.75" customHeight="1">
      <c r="A536" s="304"/>
      <c r="B536" s="305"/>
      <c r="F536" s="306"/>
      <c r="G536" s="306"/>
      <c r="H536" s="306"/>
    </row>
    <row r="537" spans="1:8" ht="15.75" customHeight="1">
      <c r="A537" s="304"/>
      <c r="B537" s="305"/>
      <c r="F537" s="306"/>
      <c r="G537" s="306"/>
      <c r="H537" s="306"/>
    </row>
    <row r="538" spans="1:8" ht="15.75" customHeight="1">
      <c r="A538" s="304"/>
      <c r="B538" s="305"/>
      <c r="F538" s="306"/>
      <c r="G538" s="306"/>
      <c r="H538" s="306"/>
    </row>
    <row r="539" spans="1:8" ht="15.75" customHeight="1">
      <c r="A539" s="304"/>
      <c r="B539" s="305"/>
      <c r="F539" s="306"/>
      <c r="G539" s="306"/>
      <c r="H539" s="306"/>
    </row>
    <row r="540" spans="1:8" ht="15.75" customHeight="1">
      <c r="A540" s="304"/>
      <c r="B540" s="305"/>
      <c r="F540" s="306"/>
      <c r="G540" s="306"/>
      <c r="H540" s="306"/>
    </row>
    <row r="541" spans="1:8" ht="15.75" customHeight="1">
      <c r="A541" s="304"/>
      <c r="B541" s="305"/>
      <c r="F541" s="306"/>
      <c r="G541" s="306"/>
      <c r="H541" s="306"/>
    </row>
    <row r="542" spans="1:8" ht="15.75" customHeight="1">
      <c r="A542" s="304"/>
      <c r="B542" s="305"/>
      <c r="F542" s="306"/>
      <c r="G542" s="306"/>
      <c r="H542" s="306"/>
    </row>
    <row r="543" spans="1:8" ht="15.75" customHeight="1">
      <c r="A543" s="304"/>
      <c r="B543" s="305"/>
      <c r="F543" s="306"/>
      <c r="G543" s="306"/>
      <c r="H543" s="306"/>
    </row>
    <row r="544" spans="1:8" ht="15.75" customHeight="1">
      <c r="A544" s="304"/>
      <c r="B544" s="305"/>
      <c r="F544" s="306"/>
      <c r="G544" s="306"/>
      <c r="H544" s="306"/>
    </row>
    <row r="545" spans="1:8" ht="15.75" customHeight="1">
      <c r="A545" s="304"/>
      <c r="B545" s="305"/>
      <c r="F545" s="306"/>
      <c r="G545" s="306"/>
      <c r="H545" s="306"/>
    </row>
    <row r="546" spans="1:8" ht="15.75" customHeight="1">
      <c r="A546" s="304"/>
      <c r="B546" s="305"/>
      <c r="F546" s="306"/>
      <c r="G546" s="306"/>
      <c r="H546" s="306"/>
    </row>
    <row r="547" spans="1:8" ht="15.75" customHeight="1">
      <c r="A547" s="304"/>
      <c r="B547" s="305"/>
      <c r="F547" s="306"/>
      <c r="G547" s="306"/>
      <c r="H547" s="306"/>
    </row>
    <row r="548" spans="1:8" ht="15.75" customHeight="1">
      <c r="A548" s="304"/>
      <c r="B548" s="305"/>
      <c r="F548" s="306"/>
      <c r="G548" s="306"/>
      <c r="H548" s="306"/>
    </row>
    <row r="549" spans="1:8" ht="15.75" customHeight="1">
      <c r="A549" s="304"/>
      <c r="B549" s="305"/>
      <c r="F549" s="306"/>
      <c r="G549" s="306"/>
      <c r="H549" s="306"/>
    </row>
    <row r="550" spans="1:8" ht="15.75" customHeight="1">
      <c r="A550" s="304"/>
      <c r="B550" s="305"/>
      <c r="F550" s="306"/>
      <c r="G550" s="306"/>
      <c r="H550" s="306"/>
    </row>
    <row r="551" spans="1:8" ht="15.75" customHeight="1">
      <c r="A551" s="304"/>
      <c r="B551" s="305"/>
      <c r="F551" s="306"/>
      <c r="G551" s="306"/>
      <c r="H551" s="306"/>
    </row>
    <row r="552" spans="1:8" ht="15.75" customHeight="1">
      <c r="A552" s="304"/>
      <c r="B552" s="305"/>
      <c r="F552" s="306"/>
      <c r="G552" s="306"/>
      <c r="H552" s="306"/>
    </row>
    <row r="553" spans="1:8" ht="15.75" customHeight="1">
      <c r="A553" s="304"/>
      <c r="B553" s="305"/>
      <c r="F553" s="306"/>
      <c r="G553" s="306"/>
      <c r="H553" s="306"/>
    </row>
    <row r="554" spans="1:8" ht="15.75" customHeight="1">
      <c r="A554" s="304"/>
      <c r="B554" s="305"/>
      <c r="F554" s="306"/>
      <c r="G554" s="306"/>
      <c r="H554" s="306"/>
    </row>
    <row r="555" spans="1:8" ht="15.75" customHeight="1">
      <c r="A555" s="304"/>
      <c r="B555" s="305"/>
      <c r="F555" s="306"/>
      <c r="G555" s="306"/>
      <c r="H555" s="306"/>
    </row>
    <row r="556" spans="1:8" ht="15.75" customHeight="1">
      <c r="A556" s="304"/>
      <c r="B556" s="305"/>
      <c r="F556" s="306"/>
      <c r="G556" s="306"/>
      <c r="H556" s="306"/>
    </row>
    <row r="557" spans="1:8" ht="15.75" customHeight="1">
      <c r="A557" s="304"/>
      <c r="B557" s="305"/>
      <c r="F557" s="306"/>
      <c r="G557" s="306"/>
      <c r="H557" s="306"/>
    </row>
    <row r="558" spans="1:8" ht="15.75" customHeight="1">
      <c r="A558" s="304"/>
      <c r="B558" s="305"/>
      <c r="F558" s="306"/>
      <c r="G558" s="306"/>
      <c r="H558" s="306"/>
    </row>
    <row r="559" spans="1:8" ht="15.75" customHeight="1">
      <c r="A559" s="304"/>
      <c r="B559" s="305"/>
      <c r="F559" s="306"/>
      <c r="G559" s="306"/>
      <c r="H559" s="306"/>
    </row>
    <row r="560" spans="1:8" ht="15.75" customHeight="1">
      <c r="A560" s="304"/>
      <c r="B560" s="305"/>
      <c r="F560" s="306"/>
      <c r="G560" s="306"/>
      <c r="H560" s="306"/>
    </row>
    <row r="561" spans="1:8" ht="15.75" customHeight="1">
      <c r="A561" s="304"/>
      <c r="B561" s="305"/>
      <c r="F561" s="306"/>
      <c r="G561" s="306"/>
      <c r="H561" s="306"/>
    </row>
    <row r="562" spans="1:8" ht="15.75" customHeight="1">
      <c r="A562" s="304"/>
      <c r="B562" s="305"/>
      <c r="F562" s="306"/>
      <c r="G562" s="306"/>
      <c r="H562" s="306"/>
    </row>
    <row r="563" spans="1:8" ht="15.75" customHeight="1">
      <c r="A563" s="304"/>
      <c r="B563" s="305"/>
      <c r="F563" s="306"/>
      <c r="G563" s="306"/>
      <c r="H563" s="306"/>
    </row>
    <row r="564" spans="1:8" ht="15.75" customHeight="1">
      <c r="A564" s="304"/>
      <c r="B564" s="305"/>
      <c r="F564" s="306"/>
      <c r="G564" s="306"/>
      <c r="H564" s="306"/>
    </row>
    <row r="565" spans="1:8" ht="15.75" customHeight="1">
      <c r="A565" s="304"/>
      <c r="B565" s="305"/>
      <c r="F565" s="306"/>
      <c r="G565" s="306"/>
      <c r="H565" s="306"/>
    </row>
    <row r="566" spans="1:8" ht="15.75" customHeight="1">
      <c r="A566" s="304"/>
      <c r="B566" s="305"/>
      <c r="F566" s="306"/>
      <c r="G566" s="306"/>
      <c r="H566" s="306"/>
    </row>
    <row r="567" spans="1:8" ht="15.75" customHeight="1">
      <c r="A567" s="304"/>
      <c r="B567" s="305"/>
      <c r="F567" s="306"/>
      <c r="G567" s="306"/>
      <c r="H567" s="306"/>
    </row>
    <row r="568" spans="1:8" ht="15.75" customHeight="1">
      <c r="A568" s="304"/>
      <c r="B568" s="305"/>
      <c r="F568" s="306"/>
      <c r="G568" s="306"/>
      <c r="H568" s="306"/>
    </row>
    <row r="569" spans="1:8" ht="15.75" customHeight="1">
      <c r="A569" s="304"/>
      <c r="B569" s="305"/>
      <c r="F569" s="306"/>
      <c r="G569" s="306"/>
      <c r="H569" s="306"/>
    </row>
    <row r="570" spans="1:8" ht="15.75" customHeight="1">
      <c r="A570" s="304"/>
      <c r="B570" s="305"/>
      <c r="F570" s="306"/>
      <c r="G570" s="306"/>
      <c r="H570" s="306"/>
    </row>
    <row r="571" spans="1:8" ht="15.75" customHeight="1">
      <c r="A571" s="304"/>
      <c r="B571" s="305"/>
      <c r="F571" s="306"/>
      <c r="G571" s="306"/>
      <c r="H571" s="306"/>
    </row>
    <row r="572" spans="1:8" ht="15.75" customHeight="1">
      <c r="A572" s="304"/>
      <c r="B572" s="305"/>
      <c r="F572" s="306"/>
      <c r="G572" s="306"/>
      <c r="H572" s="306"/>
    </row>
    <row r="573" spans="1:8" ht="15.75" customHeight="1">
      <c r="A573" s="304"/>
      <c r="B573" s="305"/>
      <c r="F573" s="306"/>
      <c r="G573" s="306"/>
      <c r="H573" s="306"/>
    </row>
    <row r="574" spans="1:8" ht="15.75" customHeight="1">
      <c r="A574" s="304"/>
      <c r="B574" s="305"/>
      <c r="F574" s="306"/>
      <c r="G574" s="306"/>
      <c r="H574" s="306"/>
    </row>
    <row r="575" spans="1:8" ht="15.75" customHeight="1">
      <c r="A575" s="304"/>
      <c r="B575" s="305"/>
      <c r="F575" s="306"/>
      <c r="G575" s="306"/>
      <c r="H575" s="306"/>
    </row>
    <row r="576" spans="1:8" ht="15.75" customHeight="1">
      <c r="A576" s="304"/>
      <c r="B576" s="305"/>
      <c r="F576" s="306"/>
      <c r="G576" s="306"/>
      <c r="H576" s="306"/>
    </row>
    <row r="577" spans="1:8" ht="15.75" customHeight="1">
      <c r="A577" s="304"/>
      <c r="B577" s="305"/>
      <c r="F577" s="306"/>
      <c r="G577" s="306"/>
      <c r="H577" s="306"/>
    </row>
    <row r="578" spans="1:8" ht="15.75" customHeight="1">
      <c r="A578" s="304"/>
      <c r="B578" s="305"/>
      <c r="F578" s="306"/>
      <c r="G578" s="306"/>
      <c r="H578" s="306"/>
    </row>
    <row r="579" spans="1:8" ht="15.75" customHeight="1">
      <c r="A579" s="304"/>
      <c r="B579" s="305"/>
      <c r="F579" s="306"/>
      <c r="G579" s="306"/>
      <c r="H579" s="306"/>
    </row>
    <row r="580" spans="1:8" ht="15.75" customHeight="1">
      <c r="A580" s="304"/>
      <c r="B580" s="305"/>
      <c r="F580" s="306"/>
      <c r="G580" s="306"/>
      <c r="H580" s="306"/>
    </row>
    <row r="581" spans="1:8" ht="15.75" customHeight="1">
      <c r="A581" s="304"/>
      <c r="B581" s="305"/>
      <c r="F581" s="306"/>
      <c r="G581" s="306"/>
      <c r="H581" s="306"/>
    </row>
    <row r="582" spans="1:8" ht="15.75" customHeight="1">
      <c r="A582" s="304"/>
      <c r="B582" s="305"/>
      <c r="F582" s="306"/>
      <c r="G582" s="306"/>
      <c r="H582" s="306"/>
    </row>
    <row r="583" spans="1:8" ht="15.75" customHeight="1">
      <c r="A583" s="304"/>
      <c r="B583" s="305"/>
      <c r="F583" s="306"/>
      <c r="G583" s="306"/>
      <c r="H583" s="306"/>
    </row>
    <row r="584" spans="1:8" ht="15.75" customHeight="1">
      <c r="A584" s="304"/>
      <c r="B584" s="305"/>
      <c r="F584" s="306"/>
      <c r="G584" s="306"/>
      <c r="H584" s="306"/>
    </row>
    <row r="585" spans="1:8" ht="15.75" customHeight="1">
      <c r="A585" s="304"/>
      <c r="B585" s="305"/>
      <c r="F585" s="306"/>
      <c r="G585" s="306"/>
      <c r="H585" s="306"/>
    </row>
    <row r="586" spans="1:8" ht="15.75" customHeight="1">
      <c r="A586" s="304"/>
      <c r="B586" s="305"/>
      <c r="F586" s="306"/>
      <c r="G586" s="306"/>
      <c r="H586" s="306"/>
    </row>
    <row r="587" spans="1:8" ht="15.75" customHeight="1">
      <c r="A587" s="304"/>
      <c r="B587" s="305"/>
      <c r="F587" s="306"/>
      <c r="G587" s="306"/>
      <c r="H587" s="306"/>
    </row>
    <row r="588" spans="1:8" ht="15.75" customHeight="1">
      <c r="A588" s="304"/>
      <c r="B588" s="305"/>
      <c r="F588" s="306"/>
      <c r="G588" s="306"/>
      <c r="H588" s="306"/>
    </row>
    <row r="589" spans="1:8" ht="15.75" customHeight="1">
      <c r="A589" s="304"/>
      <c r="B589" s="305"/>
      <c r="F589" s="306"/>
      <c r="G589" s="306"/>
      <c r="H589" s="306"/>
    </row>
    <row r="590" spans="1:8" ht="15.75" customHeight="1">
      <c r="A590" s="304"/>
      <c r="B590" s="305"/>
      <c r="F590" s="306"/>
      <c r="G590" s="306"/>
      <c r="H590" s="306"/>
    </row>
    <row r="591" spans="1:8" ht="15.75" customHeight="1">
      <c r="A591" s="304"/>
      <c r="B591" s="305"/>
      <c r="F591" s="306"/>
      <c r="G591" s="306"/>
      <c r="H591" s="306"/>
    </row>
    <row r="592" spans="1:8" ht="15.75" customHeight="1">
      <c r="A592" s="304"/>
      <c r="B592" s="305"/>
      <c r="F592" s="306"/>
      <c r="G592" s="306"/>
      <c r="H592" s="306"/>
    </row>
    <row r="593" spans="1:8" ht="15.75" customHeight="1">
      <c r="A593" s="304"/>
      <c r="B593" s="305"/>
      <c r="F593" s="306"/>
      <c r="G593" s="306"/>
      <c r="H593" s="306"/>
    </row>
    <row r="594" spans="1:8" ht="15.75" customHeight="1">
      <c r="A594" s="304"/>
      <c r="B594" s="305"/>
      <c r="F594" s="306"/>
      <c r="G594" s="306"/>
      <c r="H594" s="306"/>
    </row>
    <row r="595" spans="1:8" ht="15.75" customHeight="1">
      <c r="A595" s="304"/>
      <c r="B595" s="305"/>
      <c r="F595" s="306"/>
      <c r="G595" s="306"/>
      <c r="H595" s="306"/>
    </row>
    <row r="596" spans="1:8" ht="15.75" customHeight="1">
      <c r="A596" s="304"/>
      <c r="B596" s="305"/>
      <c r="F596" s="306"/>
      <c r="G596" s="306"/>
      <c r="H596" s="306"/>
    </row>
    <row r="597" spans="1:8" ht="15.75" customHeight="1">
      <c r="A597" s="304"/>
      <c r="B597" s="305"/>
      <c r="F597" s="306"/>
      <c r="G597" s="306"/>
      <c r="H597" s="306"/>
    </row>
    <row r="598" spans="1:8" ht="15.75" customHeight="1">
      <c r="A598" s="304"/>
      <c r="B598" s="305"/>
      <c r="F598" s="306"/>
      <c r="G598" s="306"/>
      <c r="H598" s="306"/>
    </row>
    <row r="599" spans="1:8" ht="15.75" customHeight="1">
      <c r="A599" s="304"/>
      <c r="B599" s="305"/>
      <c r="F599" s="306"/>
      <c r="G599" s="306"/>
      <c r="H599" s="306"/>
    </row>
    <row r="600" spans="1:8" ht="15.75" customHeight="1">
      <c r="A600" s="304"/>
      <c r="B600" s="305"/>
      <c r="F600" s="306"/>
      <c r="G600" s="306"/>
      <c r="H600" s="306"/>
    </row>
    <row r="601" spans="1:8" ht="15.75" customHeight="1">
      <c r="A601" s="304"/>
      <c r="B601" s="305"/>
      <c r="F601" s="306"/>
      <c r="G601" s="306"/>
      <c r="H601" s="306"/>
    </row>
    <row r="602" spans="1:8" ht="15.75" customHeight="1">
      <c r="A602" s="304"/>
      <c r="B602" s="305"/>
      <c r="F602" s="306"/>
      <c r="G602" s="306"/>
      <c r="H602" s="306"/>
    </row>
    <row r="603" spans="1:8" ht="15.75" customHeight="1">
      <c r="A603" s="304"/>
      <c r="B603" s="305"/>
      <c r="F603" s="306"/>
      <c r="G603" s="306"/>
      <c r="H603" s="306"/>
    </row>
    <row r="604" spans="1:8" ht="15.75" customHeight="1">
      <c r="A604" s="304"/>
      <c r="B604" s="305"/>
      <c r="F604" s="306"/>
      <c r="G604" s="306"/>
      <c r="H604" s="306"/>
    </row>
    <row r="605" spans="1:8" ht="15.75" customHeight="1">
      <c r="A605" s="304"/>
      <c r="B605" s="305"/>
      <c r="F605" s="306"/>
      <c r="G605" s="306"/>
      <c r="H605" s="306"/>
    </row>
    <row r="606" spans="1:8" ht="15.75" customHeight="1">
      <c r="A606" s="304"/>
      <c r="B606" s="305"/>
      <c r="F606" s="306"/>
      <c r="G606" s="306"/>
      <c r="H606" s="306"/>
    </row>
    <row r="607" spans="1:8" ht="15.75" customHeight="1">
      <c r="A607" s="304"/>
      <c r="B607" s="305"/>
      <c r="F607" s="306"/>
      <c r="G607" s="306"/>
      <c r="H607" s="306"/>
    </row>
    <row r="608" spans="1:8" ht="15.75" customHeight="1">
      <c r="A608" s="304"/>
      <c r="B608" s="305"/>
      <c r="F608" s="306"/>
      <c r="G608" s="306"/>
      <c r="H608" s="306"/>
    </row>
    <row r="609" spans="1:8" ht="15.75" customHeight="1">
      <c r="A609" s="304"/>
      <c r="B609" s="305"/>
      <c r="F609" s="306"/>
      <c r="G609" s="306"/>
      <c r="H609" s="306"/>
    </row>
    <row r="610" spans="1:8" ht="15.75" customHeight="1">
      <c r="A610" s="304"/>
      <c r="B610" s="305"/>
      <c r="F610" s="306"/>
      <c r="G610" s="306"/>
      <c r="H610" s="306"/>
    </row>
    <row r="611" spans="1:8" ht="15.75" customHeight="1">
      <c r="A611" s="304"/>
      <c r="B611" s="305"/>
      <c r="F611" s="306"/>
      <c r="G611" s="306"/>
      <c r="H611" s="306"/>
    </row>
    <row r="612" spans="1:8" ht="15.75" customHeight="1">
      <c r="A612" s="304"/>
      <c r="B612" s="305"/>
      <c r="F612" s="306"/>
      <c r="G612" s="306"/>
      <c r="H612" s="306"/>
    </row>
    <row r="613" spans="1:8" ht="15.75" customHeight="1">
      <c r="A613" s="304"/>
      <c r="B613" s="305"/>
      <c r="F613" s="306"/>
      <c r="G613" s="306"/>
      <c r="H613" s="306"/>
    </row>
    <row r="614" spans="1:8" ht="15.75" customHeight="1">
      <c r="A614" s="304"/>
      <c r="B614" s="305"/>
      <c r="F614" s="306"/>
      <c r="G614" s="306"/>
      <c r="H614" s="306"/>
    </row>
    <row r="615" spans="1:8" ht="15.75" customHeight="1">
      <c r="A615" s="304"/>
      <c r="B615" s="305"/>
      <c r="F615" s="306"/>
      <c r="G615" s="306"/>
      <c r="H615" s="306"/>
    </row>
    <row r="616" spans="1:8" ht="15.75" customHeight="1">
      <c r="A616" s="304"/>
      <c r="B616" s="305"/>
      <c r="F616" s="306"/>
      <c r="G616" s="306"/>
      <c r="H616" s="306"/>
    </row>
    <row r="617" spans="1:8" ht="15.75" customHeight="1">
      <c r="A617" s="304"/>
      <c r="B617" s="305"/>
      <c r="F617" s="306"/>
      <c r="G617" s="306"/>
      <c r="H617" s="306"/>
    </row>
    <row r="618" spans="1:8" ht="15.75" customHeight="1">
      <c r="A618" s="304"/>
      <c r="B618" s="305"/>
      <c r="F618" s="306"/>
      <c r="G618" s="306"/>
      <c r="H618" s="306"/>
    </row>
    <row r="619" spans="1:8" ht="15.75" customHeight="1">
      <c r="A619" s="304"/>
      <c r="B619" s="305"/>
      <c r="F619" s="306"/>
      <c r="G619" s="306"/>
      <c r="H619" s="306"/>
    </row>
    <row r="620" spans="1:8" ht="15.75" customHeight="1">
      <c r="A620" s="304"/>
      <c r="B620" s="305"/>
      <c r="F620" s="306"/>
      <c r="G620" s="306"/>
      <c r="H620" s="306"/>
    </row>
    <row r="621" spans="1:8" ht="15.75" customHeight="1">
      <c r="A621" s="304"/>
      <c r="B621" s="305"/>
      <c r="F621" s="306"/>
      <c r="G621" s="306"/>
      <c r="H621" s="306"/>
    </row>
    <row r="622" spans="1:8" ht="15.75" customHeight="1">
      <c r="A622" s="304"/>
      <c r="B622" s="305"/>
      <c r="F622" s="306"/>
      <c r="G622" s="306"/>
      <c r="H622" s="306"/>
    </row>
    <row r="623" spans="1:8" ht="15.75" customHeight="1">
      <c r="A623" s="304"/>
      <c r="B623" s="305"/>
      <c r="F623" s="306"/>
      <c r="G623" s="306"/>
      <c r="H623" s="306"/>
    </row>
    <row r="624" spans="1:8" ht="15.75" customHeight="1">
      <c r="A624" s="304"/>
      <c r="B624" s="305"/>
      <c r="F624" s="306"/>
      <c r="G624" s="306"/>
      <c r="H624" s="306"/>
    </row>
    <row r="625" spans="1:8" ht="15.75" customHeight="1">
      <c r="A625" s="304"/>
      <c r="B625" s="305"/>
      <c r="F625" s="306"/>
      <c r="G625" s="306"/>
      <c r="H625" s="306"/>
    </row>
    <row r="626" spans="1:8" ht="15.75" customHeight="1">
      <c r="A626" s="304"/>
      <c r="B626" s="305"/>
      <c r="F626" s="306"/>
      <c r="G626" s="306"/>
      <c r="H626" s="306"/>
    </row>
    <row r="627" spans="1:8" ht="15.75" customHeight="1">
      <c r="A627" s="304"/>
      <c r="B627" s="305"/>
      <c r="F627" s="306"/>
      <c r="G627" s="306"/>
      <c r="H627" s="306"/>
    </row>
    <row r="628" spans="1:8" ht="15.75" customHeight="1">
      <c r="A628" s="304"/>
      <c r="B628" s="305"/>
      <c r="F628" s="306"/>
      <c r="G628" s="306"/>
      <c r="H628" s="306"/>
    </row>
    <row r="629" spans="1:8" ht="15.75" customHeight="1">
      <c r="A629" s="304"/>
      <c r="B629" s="305"/>
      <c r="F629" s="306"/>
      <c r="G629" s="306"/>
      <c r="H629" s="306"/>
    </row>
    <row r="630" spans="1:8" ht="15.75" customHeight="1">
      <c r="A630" s="304"/>
      <c r="B630" s="305"/>
      <c r="F630" s="306"/>
      <c r="G630" s="306"/>
      <c r="H630" s="306"/>
    </row>
    <row r="631" spans="1:8" ht="15.75" customHeight="1">
      <c r="A631" s="304"/>
      <c r="B631" s="305"/>
      <c r="F631" s="306"/>
      <c r="G631" s="306"/>
      <c r="H631" s="306"/>
    </row>
    <row r="632" spans="1:8" ht="15.75" customHeight="1">
      <c r="A632" s="304"/>
      <c r="B632" s="305"/>
      <c r="F632" s="306"/>
      <c r="G632" s="306"/>
      <c r="H632" s="306"/>
    </row>
    <row r="633" spans="1:8" ht="15.75" customHeight="1">
      <c r="A633" s="304"/>
      <c r="B633" s="305"/>
      <c r="F633" s="306"/>
      <c r="G633" s="306"/>
      <c r="H633" s="306"/>
    </row>
    <row r="634" spans="1:8" ht="15.75" customHeight="1">
      <c r="A634" s="304"/>
      <c r="B634" s="305"/>
      <c r="F634" s="306"/>
      <c r="G634" s="306"/>
      <c r="H634" s="306"/>
    </row>
    <row r="635" spans="1:8" ht="15.75" customHeight="1">
      <c r="A635" s="304"/>
      <c r="B635" s="305"/>
      <c r="F635" s="306"/>
      <c r="G635" s="306"/>
      <c r="H635" s="306"/>
    </row>
    <row r="636" spans="1:8" ht="15.75" customHeight="1">
      <c r="A636" s="304"/>
      <c r="B636" s="305"/>
      <c r="F636" s="306"/>
      <c r="G636" s="306"/>
      <c r="H636" s="306"/>
    </row>
    <row r="637" spans="1:8" ht="15.75" customHeight="1">
      <c r="A637" s="304"/>
      <c r="B637" s="305"/>
      <c r="F637" s="306"/>
      <c r="G637" s="306"/>
      <c r="H637" s="306"/>
    </row>
    <row r="638" spans="1:8" ht="15.75" customHeight="1">
      <c r="A638" s="304"/>
      <c r="B638" s="305"/>
      <c r="F638" s="306"/>
      <c r="G638" s="306"/>
      <c r="H638" s="306"/>
    </row>
    <row r="639" spans="1:8" ht="15.75" customHeight="1">
      <c r="A639" s="304"/>
      <c r="B639" s="305"/>
      <c r="F639" s="306"/>
      <c r="G639" s="306"/>
      <c r="H639" s="306"/>
    </row>
    <row r="640" spans="1:8" ht="15.75" customHeight="1">
      <c r="A640" s="304"/>
      <c r="B640" s="305"/>
      <c r="F640" s="306"/>
      <c r="G640" s="306"/>
      <c r="H640" s="306"/>
    </row>
    <row r="641" spans="1:8" ht="15.75" customHeight="1">
      <c r="A641" s="304"/>
      <c r="B641" s="305"/>
      <c r="F641" s="306"/>
      <c r="G641" s="306"/>
      <c r="H641" s="306"/>
    </row>
    <row r="642" spans="1:8" ht="15.75" customHeight="1">
      <c r="A642" s="304"/>
      <c r="B642" s="305"/>
      <c r="F642" s="306"/>
      <c r="G642" s="306"/>
      <c r="H642" s="306"/>
    </row>
    <row r="643" spans="1:8" ht="15.75" customHeight="1">
      <c r="A643" s="304"/>
      <c r="B643" s="305"/>
      <c r="F643" s="306"/>
      <c r="G643" s="306"/>
      <c r="H643" s="306"/>
    </row>
    <row r="644" spans="1:8" ht="15.75" customHeight="1">
      <c r="A644" s="304"/>
      <c r="B644" s="305"/>
      <c r="F644" s="306"/>
      <c r="G644" s="306"/>
      <c r="H644" s="306"/>
    </row>
    <row r="645" spans="1:8" ht="15.75" customHeight="1">
      <c r="A645" s="304"/>
      <c r="B645" s="305"/>
      <c r="F645" s="306"/>
      <c r="G645" s="306"/>
      <c r="H645" s="306"/>
    </row>
    <row r="646" spans="1:8" ht="15.75" customHeight="1">
      <c r="A646" s="304"/>
      <c r="B646" s="305"/>
      <c r="F646" s="306"/>
      <c r="G646" s="306"/>
      <c r="H646" s="306"/>
    </row>
    <row r="647" spans="1:8" ht="15.75" customHeight="1">
      <c r="A647" s="304"/>
      <c r="B647" s="305"/>
      <c r="F647" s="306"/>
      <c r="G647" s="306"/>
      <c r="H647" s="306"/>
    </row>
    <row r="648" spans="1:8" ht="15.75" customHeight="1">
      <c r="A648" s="304"/>
      <c r="B648" s="305"/>
      <c r="F648" s="306"/>
      <c r="G648" s="306"/>
      <c r="H648" s="306"/>
    </row>
    <row r="649" spans="1:8" ht="15.75" customHeight="1">
      <c r="A649" s="304"/>
      <c r="B649" s="305"/>
      <c r="F649" s="306"/>
      <c r="G649" s="306"/>
      <c r="H649" s="306"/>
    </row>
    <row r="650" spans="1:8" ht="15.75" customHeight="1">
      <c r="A650" s="304"/>
      <c r="B650" s="305"/>
      <c r="F650" s="306"/>
      <c r="G650" s="306"/>
      <c r="H650" s="306"/>
    </row>
    <row r="651" spans="1:8" ht="15.75" customHeight="1">
      <c r="A651" s="304"/>
      <c r="B651" s="305"/>
      <c r="F651" s="306"/>
      <c r="G651" s="306"/>
      <c r="H651" s="306"/>
    </row>
    <row r="652" spans="1:8" ht="15.75" customHeight="1">
      <c r="A652" s="304"/>
      <c r="B652" s="305"/>
      <c r="F652" s="306"/>
      <c r="G652" s="306"/>
      <c r="H652" s="306"/>
    </row>
    <row r="653" spans="1:8" ht="15.75" customHeight="1">
      <c r="A653" s="304"/>
      <c r="B653" s="305"/>
      <c r="F653" s="306"/>
      <c r="G653" s="306"/>
      <c r="H653" s="306"/>
    </row>
    <row r="654" spans="1:8" ht="15.75" customHeight="1">
      <c r="A654" s="304"/>
      <c r="B654" s="305"/>
      <c r="F654" s="306"/>
      <c r="G654" s="306"/>
      <c r="H654" s="306"/>
    </row>
    <row r="655" spans="1:8" ht="15.75" customHeight="1">
      <c r="A655" s="304"/>
      <c r="B655" s="305"/>
      <c r="F655" s="306"/>
      <c r="G655" s="306"/>
      <c r="H655" s="306"/>
    </row>
    <row r="656" spans="1:8" ht="15.75" customHeight="1">
      <c r="A656" s="304"/>
      <c r="B656" s="305"/>
      <c r="F656" s="306"/>
      <c r="G656" s="306"/>
      <c r="H656" s="306"/>
    </row>
    <row r="657" spans="1:8" ht="15.75" customHeight="1">
      <c r="A657" s="304"/>
      <c r="B657" s="305"/>
      <c r="F657" s="306"/>
      <c r="G657" s="306"/>
      <c r="H657" s="306"/>
    </row>
    <row r="658" spans="1:8" ht="15.75" customHeight="1">
      <c r="A658" s="304"/>
      <c r="B658" s="305"/>
      <c r="F658" s="306"/>
      <c r="G658" s="306"/>
      <c r="H658" s="306"/>
    </row>
    <row r="659" spans="1:8" ht="15.75" customHeight="1">
      <c r="A659" s="304"/>
      <c r="B659" s="305"/>
      <c r="F659" s="306"/>
      <c r="G659" s="306"/>
      <c r="H659" s="306"/>
    </row>
    <row r="660" spans="1:8" ht="15.75" customHeight="1">
      <c r="A660" s="304"/>
      <c r="B660" s="305"/>
      <c r="F660" s="306"/>
      <c r="G660" s="306"/>
      <c r="H660" s="306"/>
    </row>
    <row r="661" spans="1:8" ht="15.75" customHeight="1">
      <c r="A661" s="304"/>
      <c r="B661" s="305"/>
      <c r="F661" s="306"/>
      <c r="G661" s="306"/>
      <c r="H661" s="306"/>
    </row>
    <row r="662" spans="1:8" ht="15.75" customHeight="1">
      <c r="A662" s="304"/>
      <c r="B662" s="305"/>
      <c r="F662" s="306"/>
      <c r="G662" s="306"/>
      <c r="H662" s="306"/>
    </row>
    <row r="663" spans="1:8" ht="15.75" customHeight="1">
      <c r="A663" s="304"/>
      <c r="B663" s="305"/>
      <c r="F663" s="306"/>
      <c r="G663" s="306"/>
      <c r="H663" s="306"/>
    </row>
    <row r="664" spans="1:8" ht="15.75" customHeight="1">
      <c r="A664" s="304"/>
      <c r="B664" s="305"/>
      <c r="F664" s="306"/>
      <c r="G664" s="306"/>
      <c r="H664" s="306"/>
    </row>
    <row r="665" spans="1:8" ht="15.75" customHeight="1">
      <c r="A665" s="304"/>
      <c r="B665" s="305"/>
      <c r="F665" s="306"/>
      <c r="G665" s="306"/>
      <c r="H665" s="306"/>
    </row>
    <row r="666" spans="1:8" ht="15.75" customHeight="1">
      <c r="A666" s="304"/>
      <c r="B666" s="305"/>
      <c r="F666" s="306"/>
      <c r="G666" s="306"/>
      <c r="H666" s="306"/>
    </row>
    <row r="667" spans="1:8" ht="15.75" customHeight="1">
      <c r="A667" s="304"/>
      <c r="B667" s="305"/>
      <c r="F667" s="306"/>
      <c r="G667" s="306"/>
      <c r="H667" s="306"/>
    </row>
    <row r="668" spans="1:8" ht="15.75" customHeight="1">
      <c r="A668" s="304"/>
      <c r="B668" s="305"/>
      <c r="F668" s="306"/>
      <c r="G668" s="306"/>
      <c r="H668" s="306"/>
    </row>
    <row r="669" spans="1:8" ht="15.75" customHeight="1">
      <c r="A669" s="304"/>
      <c r="B669" s="305"/>
      <c r="F669" s="306"/>
      <c r="G669" s="306"/>
      <c r="H669" s="306"/>
    </row>
    <row r="670" spans="1:8" ht="15.75" customHeight="1">
      <c r="A670" s="304"/>
      <c r="B670" s="305"/>
      <c r="F670" s="306"/>
      <c r="G670" s="306"/>
      <c r="H670" s="306"/>
    </row>
    <row r="671" spans="1:8" ht="15.75" customHeight="1">
      <c r="A671" s="304"/>
      <c r="B671" s="305"/>
      <c r="F671" s="306"/>
      <c r="G671" s="306"/>
      <c r="H671" s="306"/>
    </row>
    <row r="672" spans="1:8" ht="15.75" customHeight="1">
      <c r="A672" s="304"/>
      <c r="B672" s="305"/>
      <c r="F672" s="306"/>
      <c r="G672" s="306"/>
      <c r="H672" s="306"/>
    </row>
    <row r="673" spans="1:8" ht="15.75" customHeight="1">
      <c r="A673" s="304"/>
      <c r="B673" s="305"/>
      <c r="F673" s="306"/>
      <c r="G673" s="306"/>
      <c r="H673" s="306"/>
    </row>
    <row r="674" spans="1:8" ht="15.75" customHeight="1">
      <c r="A674" s="304"/>
      <c r="B674" s="305"/>
      <c r="F674" s="306"/>
      <c r="G674" s="306"/>
      <c r="H674" s="306"/>
    </row>
    <row r="675" spans="1:8" ht="15.75" customHeight="1">
      <c r="A675" s="304"/>
      <c r="B675" s="305"/>
      <c r="F675" s="306"/>
      <c r="G675" s="306"/>
      <c r="H675" s="306"/>
    </row>
    <row r="676" spans="1:8" ht="15.75" customHeight="1">
      <c r="A676" s="304"/>
      <c r="B676" s="305"/>
      <c r="F676" s="306"/>
      <c r="G676" s="306"/>
      <c r="H676" s="306"/>
    </row>
    <row r="677" spans="1:8" ht="15.75" customHeight="1">
      <c r="A677" s="304"/>
      <c r="B677" s="305"/>
      <c r="F677" s="306"/>
      <c r="G677" s="306"/>
      <c r="H677" s="306"/>
    </row>
    <row r="678" spans="1:8" ht="15.75" customHeight="1">
      <c r="A678" s="304"/>
      <c r="B678" s="305"/>
      <c r="F678" s="306"/>
      <c r="G678" s="306"/>
      <c r="H678" s="306"/>
    </row>
    <row r="679" spans="1:8" ht="15.75" customHeight="1">
      <c r="A679" s="304"/>
      <c r="B679" s="305"/>
      <c r="F679" s="306"/>
      <c r="G679" s="306"/>
      <c r="H679" s="306"/>
    </row>
    <row r="680" spans="1:8" ht="15.75" customHeight="1">
      <c r="A680" s="304"/>
      <c r="B680" s="305"/>
      <c r="F680" s="306"/>
      <c r="G680" s="306"/>
      <c r="H680" s="306"/>
    </row>
    <row r="681" spans="1:8" ht="15.75" customHeight="1">
      <c r="A681" s="304"/>
      <c r="B681" s="305"/>
      <c r="F681" s="306"/>
      <c r="G681" s="306"/>
      <c r="H681" s="306"/>
    </row>
    <row r="682" spans="1:8" ht="15.75" customHeight="1">
      <c r="A682" s="304"/>
      <c r="B682" s="305"/>
      <c r="F682" s="306"/>
      <c r="G682" s="306"/>
      <c r="H682" s="306"/>
    </row>
    <row r="683" spans="1:8" ht="15.75" customHeight="1">
      <c r="A683" s="304"/>
      <c r="B683" s="305"/>
      <c r="F683" s="306"/>
      <c r="G683" s="306"/>
      <c r="H683" s="306"/>
    </row>
    <row r="684" spans="1:8" ht="15.75" customHeight="1">
      <c r="A684" s="304"/>
      <c r="B684" s="305"/>
      <c r="F684" s="306"/>
      <c r="G684" s="306"/>
      <c r="H684" s="306"/>
    </row>
    <row r="685" spans="1:8" ht="15.75" customHeight="1">
      <c r="A685" s="304"/>
      <c r="B685" s="305"/>
      <c r="F685" s="306"/>
      <c r="G685" s="306"/>
      <c r="H685" s="306"/>
    </row>
    <row r="686" spans="1:8" ht="15.75" customHeight="1">
      <c r="A686" s="304"/>
      <c r="B686" s="305"/>
      <c r="F686" s="306"/>
      <c r="G686" s="306"/>
      <c r="H686" s="306"/>
    </row>
    <row r="687" spans="1:8" ht="15.75" customHeight="1">
      <c r="A687" s="304"/>
      <c r="B687" s="305"/>
      <c r="F687" s="306"/>
      <c r="G687" s="306"/>
      <c r="H687" s="306"/>
    </row>
    <row r="688" spans="1:8" ht="15.75" customHeight="1">
      <c r="A688" s="304"/>
      <c r="B688" s="305"/>
      <c r="F688" s="306"/>
      <c r="G688" s="306"/>
      <c r="H688" s="306"/>
    </row>
    <row r="689" spans="1:8" ht="15.75" customHeight="1">
      <c r="A689" s="304"/>
      <c r="B689" s="305"/>
      <c r="F689" s="306"/>
      <c r="G689" s="306"/>
      <c r="H689" s="306"/>
    </row>
    <row r="690" spans="1:8" ht="15.75" customHeight="1">
      <c r="A690" s="304"/>
      <c r="B690" s="305"/>
      <c r="F690" s="306"/>
      <c r="G690" s="306"/>
      <c r="H690" s="306"/>
    </row>
    <row r="691" spans="1:8" ht="15.75" customHeight="1">
      <c r="A691" s="304"/>
      <c r="B691" s="305"/>
      <c r="F691" s="306"/>
      <c r="G691" s="306"/>
      <c r="H691" s="306"/>
    </row>
    <row r="692" spans="1:8" ht="15.75" customHeight="1">
      <c r="A692" s="304"/>
      <c r="B692" s="305"/>
      <c r="F692" s="306"/>
      <c r="G692" s="306"/>
      <c r="H692" s="306"/>
    </row>
    <row r="693" spans="1:8" ht="15.75" customHeight="1">
      <c r="A693" s="304"/>
      <c r="B693" s="305"/>
      <c r="F693" s="306"/>
      <c r="G693" s="306"/>
      <c r="H693" s="306"/>
    </row>
    <row r="694" spans="1:8" ht="15.75" customHeight="1">
      <c r="A694" s="304"/>
      <c r="B694" s="305"/>
      <c r="F694" s="306"/>
      <c r="G694" s="306"/>
      <c r="H694" s="306"/>
    </row>
    <row r="695" spans="1:8" ht="15.75" customHeight="1">
      <c r="A695" s="304"/>
      <c r="B695" s="305"/>
      <c r="F695" s="306"/>
      <c r="G695" s="306"/>
      <c r="H695" s="306"/>
    </row>
    <row r="696" spans="1:8" ht="15.75" customHeight="1">
      <c r="A696" s="304"/>
      <c r="B696" s="305"/>
      <c r="F696" s="306"/>
      <c r="G696" s="306"/>
      <c r="H696" s="306"/>
    </row>
    <row r="697" spans="1:8" ht="15.75" customHeight="1">
      <c r="A697" s="304"/>
      <c r="B697" s="305"/>
      <c r="F697" s="306"/>
      <c r="G697" s="306"/>
      <c r="H697" s="306"/>
    </row>
    <row r="698" spans="1:8" ht="15.75" customHeight="1">
      <c r="A698" s="304"/>
      <c r="B698" s="305"/>
      <c r="F698" s="306"/>
      <c r="G698" s="306"/>
      <c r="H698" s="306"/>
    </row>
    <row r="699" spans="1:8" ht="15.75" customHeight="1">
      <c r="A699" s="304"/>
      <c r="B699" s="305"/>
      <c r="F699" s="306"/>
      <c r="G699" s="306"/>
      <c r="H699" s="306"/>
    </row>
    <row r="700" spans="1:8" ht="15.75" customHeight="1">
      <c r="A700" s="304"/>
      <c r="B700" s="305"/>
      <c r="F700" s="306"/>
      <c r="G700" s="306"/>
      <c r="H700" s="306"/>
    </row>
    <row r="701" spans="1:8" ht="15.75" customHeight="1">
      <c r="A701" s="304"/>
      <c r="B701" s="305"/>
      <c r="F701" s="306"/>
      <c r="G701" s="306"/>
      <c r="H701" s="306"/>
    </row>
    <row r="702" spans="1:8" ht="15.75" customHeight="1">
      <c r="A702" s="304"/>
      <c r="B702" s="305"/>
      <c r="F702" s="306"/>
      <c r="G702" s="306"/>
      <c r="H702" s="306"/>
    </row>
    <row r="703" spans="1:8" ht="15.75" customHeight="1">
      <c r="A703" s="304"/>
      <c r="B703" s="305"/>
      <c r="F703" s="306"/>
      <c r="G703" s="306"/>
      <c r="H703" s="306"/>
    </row>
    <row r="704" spans="1:8" ht="15.75" customHeight="1">
      <c r="A704" s="304"/>
      <c r="B704" s="305"/>
      <c r="F704" s="306"/>
      <c r="G704" s="306"/>
      <c r="H704" s="306"/>
    </row>
    <row r="705" spans="1:8" ht="15.75" customHeight="1">
      <c r="A705" s="304"/>
      <c r="B705" s="305"/>
      <c r="F705" s="306"/>
      <c r="G705" s="306"/>
      <c r="H705" s="306"/>
    </row>
    <row r="706" spans="1:8" ht="15.75" customHeight="1">
      <c r="A706" s="304"/>
      <c r="B706" s="305"/>
      <c r="F706" s="306"/>
      <c r="G706" s="306"/>
      <c r="H706" s="306"/>
    </row>
    <row r="707" spans="1:8" ht="15.75" customHeight="1">
      <c r="A707" s="304"/>
      <c r="B707" s="305"/>
      <c r="F707" s="306"/>
      <c r="G707" s="306"/>
      <c r="H707" s="306"/>
    </row>
    <row r="708" spans="1:8" ht="15.75" customHeight="1">
      <c r="A708" s="304"/>
      <c r="B708" s="305"/>
      <c r="F708" s="306"/>
      <c r="G708" s="306"/>
      <c r="H708" s="306"/>
    </row>
    <row r="709" spans="1:8" ht="15.75" customHeight="1">
      <c r="A709" s="304"/>
      <c r="B709" s="305"/>
      <c r="F709" s="306"/>
      <c r="G709" s="306"/>
      <c r="H709" s="306"/>
    </row>
    <row r="710" spans="1:8" ht="15.75" customHeight="1">
      <c r="A710" s="304"/>
      <c r="B710" s="305"/>
      <c r="F710" s="306"/>
      <c r="G710" s="306"/>
      <c r="H710" s="306"/>
    </row>
    <row r="711" spans="1:8" ht="15.75" customHeight="1">
      <c r="A711" s="304"/>
      <c r="B711" s="305"/>
      <c r="F711" s="306"/>
      <c r="G711" s="306"/>
      <c r="H711" s="306"/>
    </row>
    <row r="712" spans="1:8" ht="15.75" customHeight="1">
      <c r="A712" s="304"/>
      <c r="B712" s="305"/>
      <c r="F712" s="306"/>
      <c r="G712" s="306"/>
      <c r="H712" s="306"/>
    </row>
    <row r="713" spans="1:8" ht="15.75" customHeight="1">
      <c r="A713" s="304"/>
      <c r="B713" s="305"/>
      <c r="F713" s="306"/>
      <c r="G713" s="306"/>
      <c r="H713" s="306"/>
    </row>
    <row r="714" spans="1:8" ht="15.75" customHeight="1">
      <c r="A714" s="304"/>
      <c r="B714" s="305"/>
      <c r="F714" s="306"/>
      <c r="G714" s="306"/>
      <c r="H714" s="306"/>
    </row>
    <row r="715" spans="1:8" ht="15.75" customHeight="1">
      <c r="A715" s="304"/>
      <c r="B715" s="305"/>
      <c r="F715" s="306"/>
      <c r="G715" s="306"/>
      <c r="H715" s="306"/>
    </row>
    <row r="716" spans="1:8" ht="15.75" customHeight="1">
      <c r="A716" s="304"/>
      <c r="B716" s="305"/>
      <c r="F716" s="306"/>
      <c r="G716" s="306"/>
      <c r="H716" s="306"/>
    </row>
    <row r="717" spans="1:8" ht="15.75" customHeight="1">
      <c r="A717" s="304"/>
      <c r="B717" s="305"/>
      <c r="F717" s="306"/>
      <c r="G717" s="306"/>
      <c r="H717" s="306"/>
    </row>
    <row r="718" spans="1:8" ht="15.75" customHeight="1">
      <c r="A718" s="304"/>
      <c r="B718" s="305"/>
      <c r="F718" s="306"/>
      <c r="G718" s="306"/>
      <c r="H718" s="306"/>
    </row>
    <row r="719" spans="1:8" ht="15.75" customHeight="1">
      <c r="A719" s="304"/>
      <c r="B719" s="305"/>
      <c r="F719" s="306"/>
      <c r="G719" s="306"/>
      <c r="H719" s="306"/>
    </row>
    <row r="720" spans="1:8" ht="15.75" customHeight="1">
      <c r="A720" s="304"/>
      <c r="B720" s="305"/>
      <c r="F720" s="306"/>
      <c r="G720" s="306"/>
      <c r="H720" s="306"/>
    </row>
    <row r="721" spans="1:8" ht="15.75" customHeight="1">
      <c r="A721" s="304"/>
      <c r="B721" s="305"/>
      <c r="F721" s="306"/>
      <c r="G721" s="306"/>
      <c r="H721" s="306"/>
    </row>
    <row r="722" spans="1:8" ht="15.75" customHeight="1">
      <c r="A722" s="304"/>
      <c r="B722" s="305"/>
      <c r="F722" s="306"/>
      <c r="G722" s="306"/>
      <c r="H722" s="306"/>
    </row>
    <row r="723" spans="1:8" ht="15.75" customHeight="1">
      <c r="A723" s="304"/>
      <c r="B723" s="305"/>
      <c r="F723" s="306"/>
      <c r="G723" s="306"/>
      <c r="H723" s="306"/>
    </row>
    <row r="724" spans="1:8" ht="15.75" customHeight="1">
      <c r="A724" s="304"/>
      <c r="B724" s="305"/>
      <c r="F724" s="306"/>
      <c r="G724" s="306"/>
      <c r="H724" s="306"/>
    </row>
    <row r="725" spans="1:8" ht="15.75" customHeight="1">
      <c r="A725" s="304"/>
      <c r="B725" s="305"/>
      <c r="F725" s="306"/>
      <c r="G725" s="306"/>
      <c r="H725" s="306"/>
    </row>
    <row r="726" spans="1:8" ht="15.75" customHeight="1">
      <c r="A726" s="304"/>
      <c r="B726" s="305"/>
      <c r="F726" s="306"/>
      <c r="G726" s="306"/>
      <c r="H726" s="306"/>
    </row>
    <row r="727" spans="1:8" ht="15.75" customHeight="1">
      <c r="A727" s="304"/>
      <c r="B727" s="305"/>
      <c r="F727" s="306"/>
      <c r="G727" s="306"/>
      <c r="H727" s="306"/>
    </row>
    <row r="728" spans="1:8" ht="15.75" customHeight="1">
      <c r="A728" s="304"/>
      <c r="B728" s="305"/>
      <c r="F728" s="306"/>
      <c r="G728" s="306"/>
      <c r="H728" s="306"/>
    </row>
    <row r="729" spans="1:8" ht="15.75" customHeight="1">
      <c r="A729" s="304"/>
      <c r="B729" s="305"/>
      <c r="F729" s="306"/>
      <c r="G729" s="306"/>
      <c r="H729" s="306"/>
    </row>
    <row r="730" spans="1:8" ht="15.75" customHeight="1">
      <c r="A730" s="304"/>
      <c r="B730" s="305"/>
      <c r="F730" s="306"/>
      <c r="G730" s="306"/>
      <c r="H730" s="306"/>
    </row>
    <row r="731" spans="1:8" ht="15.75" customHeight="1">
      <c r="A731" s="304"/>
      <c r="B731" s="305"/>
      <c r="F731" s="306"/>
      <c r="G731" s="306"/>
      <c r="H731" s="306"/>
    </row>
    <row r="732" spans="1:8" ht="15.75" customHeight="1">
      <c r="A732" s="304"/>
      <c r="B732" s="305"/>
      <c r="F732" s="306"/>
      <c r="G732" s="306"/>
      <c r="H732" s="306"/>
    </row>
    <row r="733" spans="1:8" ht="15.75" customHeight="1">
      <c r="A733" s="304"/>
      <c r="B733" s="305"/>
      <c r="F733" s="306"/>
      <c r="G733" s="306"/>
      <c r="H733" s="306"/>
    </row>
    <row r="734" spans="1:8" ht="15.75" customHeight="1">
      <c r="A734" s="304"/>
      <c r="B734" s="305"/>
      <c r="F734" s="306"/>
      <c r="G734" s="306"/>
      <c r="H734" s="306"/>
    </row>
    <row r="735" spans="1:8" ht="15.75" customHeight="1">
      <c r="A735" s="304"/>
      <c r="B735" s="305"/>
      <c r="F735" s="306"/>
      <c r="G735" s="306"/>
      <c r="H735" s="306"/>
    </row>
    <row r="736" spans="1:8" ht="15.75" customHeight="1">
      <c r="A736" s="304"/>
      <c r="B736" s="305"/>
      <c r="F736" s="306"/>
      <c r="G736" s="306"/>
      <c r="H736" s="306"/>
    </row>
    <row r="737" spans="1:8" ht="15.75" customHeight="1">
      <c r="A737" s="304"/>
      <c r="B737" s="305"/>
      <c r="F737" s="306"/>
      <c r="G737" s="306"/>
      <c r="H737" s="306"/>
    </row>
    <row r="738" spans="1:8" ht="15.75" customHeight="1">
      <c r="A738" s="304"/>
      <c r="B738" s="305"/>
      <c r="F738" s="306"/>
      <c r="G738" s="306"/>
      <c r="H738" s="306"/>
    </row>
    <row r="739" spans="1:8" ht="15.75" customHeight="1">
      <c r="A739" s="304"/>
      <c r="B739" s="305"/>
      <c r="F739" s="306"/>
      <c r="G739" s="306"/>
      <c r="H739" s="306"/>
    </row>
    <row r="740" spans="1:8" ht="15.75" customHeight="1">
      <c r="A740" s="304"/>
      <c r="B740" s="305"/>
      <c r="F740" s="306"/>
      <c r="G740" s="306"/>
      <c r="H740" s="306"/>
    </row>
    <row r="741" spans="1:8" ht="15.75" customHeight="1">
      <c r="A741" s="304"/>
      <c r="B741" s="305"/>
      <c r="F741" s="306"/>
      <c r="G741" s="306"/>
      <c r="H741" s="306"/>
    </row>
    <row r="742" spans="1:8" ht="15.75" customHeight="1">
      <c r="A742" s="304"/>
      <c r="B742" s="305"/>
      <c r="F742" s="306"/>
      <c r="G742" s="306"/>
      <c r="H742" s="306"/>
    </row>
    <row r="743" spans="1:8" ht="15.75" customHeight="1">
      <c r="A743" s="304"/>
      <c r="B743" s="305"/>
      <c r="F743" s="306"/>
      <c r="G743" s="306"/>
      <c r="H743" s="306"/>
    </row>
    <row r="744" spans="1:8" ht="15.75" customHeight="1">
      <c r="A744" s="304"/>
      <c r="B744" s="305"/>
      <c r="F744" s="306"/>
      <c r="G744" s="306"/>
      <c r="H744" s="306"/>
    </row>
    <row r="745" spans="1:8" ht="15.75" customHeight="1">
      <c r="A745" s="304"/>
      <c r="B745" s="305"/>
      <c r="F745" s="306"/>
      <c r="G745" s="306"/>
      <c r="H745" s="306"/>
    </row>
    <row r="746" spans="1:8" ht="15.75" customHeight="1">
      <c r="A746" s="304"/>
      <c r="B746" s="305"/>
      <c r="F746" s="306"/>
      <c r="G746" s="306"/>
      <c r="H746" s="306"/>
    </row>
    <row r="747" spans="1:8" ht="15.75" customHeight="1">
      <c r="A747" s="304"/>
      <c r="B747" s="305"/>
      <c r="F747" s="306"/>
      <c r="G747" s="306"/>
      <c r="H747" s="306"/>
    </row>
    <row r="748" spans="1:8" ht="15.75" customHeight="1">
      <c r="A748" s="304"/>
      <c r="B748" s="305"/>
      <c r="F748" s="306"/>
      <c r="G748" s="306"/>
      <c r="H748" s="306"/>
    </row>
    <row r="749" spans="1:8" ht="15.75" customHeight="1">
      <c r="A749" s="304"/>
      <c r="B749" s="305"/>
      <c r="F749" s="306"/>
      <c r="G749" s="306"/>
      <c r="H749" s="306"/>
    </row>
    <row r="750" spans="1:8" ht="15.75" customHeight="1">
      <c r="A750" s="304"/>
      <c r="B750" s="305"/>
      <c r="F750" s="306"/>
      <c r="G750" s="306"/>
      <c r="H750" s="306"/>
    </row>
    <row r="751" spans="1:8" ht="15.75" customHeight="1">
      <c r="A751" s="304"/>
      <c r="B751" s="305"/>
      <c r="F751" s="306"/>
      <c r="G751" s="306"/>
      <c r="H751" s="306"/>
    </row>
    <row r="752" spans="1:8" ht="15.75" customHeight="1">
      <c r="A752" s="304"/>
      <c r="B752" s="305"/>
      <c r="F752" s="306"/>
      <c r="G752" s="306"/>
      <c r="H752" s="306"/>
    </row>
    <row r="753" spans="1:8" ht="15.75" customHeight="1">
      <c r="A753" s="304"/>
      <c r="B753" s="305"/>
      <c r="F753" s="306"/>
      <c r="G753" s="306"/>
      <c r="H753" s="306"/>
    </row>
    <row r="754" spans="1:8" ht="15.75" customHeight="1">
      <c r="A754" s="304"/>
      <c r="B754" s="305"/>
      <c r="F754" s="306"/>
      <c r="G754" s="306"/>
      <c r="H754" s="306"/>
    </row>
    <row r="755" spans="1:8" ht="15.75" customHeight="1">
      <c r="A755" s="304"/>
      <c r="B755" s="305"/>
      <c r="F755" s="306"/>
      <c r="G755" s="306"/>
      <c r="H755" s="306"/>
    </row>
    <row r="756" spans="1:8" ht="15.75" customHeight="1">
      <c r="A756" s="304"/>
      <c r="B756" s="305"/>
      <c r="F756" s="306"/>
      <c r="G756" s="306"/>
      <c r="H756" s="306"/>
    </row>
    <row r="757" spans="1:8" ht="15.75" customHeight="1">
      <c r="A757" s="304"/>
      <c r="B757" s="305"/>
      <c r="F757" s="306"/>
      <c r="G757" s="306"/>
      <c r="H757" s="306"/>
    </row>
    <row r="758" spans="1:8" ht="15.75" customHeight="1">
      <c r="A758" s="304"/>
      <c r="B758" s="305"/>
      <c r="F758" s="306"/>
      <c r="G758" s="306"/>
      <c r="H758" s="306"/>
    </row>
    <row r="759" spans="1:8" ht="15.75" customHeight="1">
      <c r="A759" s="304"/>
      <c r="B759" s="305"/>
      <c r="F759" s="306"/>
      <c r="G759" s="306"/>
      <c r="H759" s="306"/>
    </row>
    <row r="760" spans="1:8" ht="15.75" customHeight="1">
      <c r="A760" s="304"/>
      <c r="B760" s="305"/>
      <c r="F760" s="306"/>
      <c r="G760" s="306"/>
      <c r="H760" s="306"/>
    </row>
    <row r="761" spans="1:8" ht="15.75" customHeight="1">
      <c r="A761" s="304"/>
      <c r="B761" s="305"/>
      <c r="F761" s="306"/>
      <c r="G761" s="306"/>
      <c r="H761" s="306"/>
    </row>
    <row r="762" spans="1:8" ht="15.75" customHeight="1">
      <c r="A762" s="304"/>
      <c r="B762" s="305"/>
      <c r="F762" s="306"/>
      <c r="G762" s="306"/>
      <c r="H762" s="306"/>
    </row>
    <row r="763" spans="1:8" ht="15.75" customHeight="1">
      <c r="A763" s="304"/>
      <c r="B763" s="305"/>
      <c r="F763" s="306"/>
      <c r="G763" s="306"/>
      <c r="H763" s="306"/>
    </row>
    <row r="764" spans="1:8" ht="15.75" customHeight="1">
      <c r="A764" s="304"/>
      <c r="B764" s="305"/>
      <c r="F764" s="306"/>
      <c r="G764" s="306"/>
      <c r="H764" s="306"/>
    </row>
    <row r="765" spans="1:8" ht="15.75" customHeight="1">
      <c r="A765" s="304"/>
      <c r="B765" s="305"/>
      <c r="F765" s="306"/>
      <c r="G765" s="306"/>
      <c r="H765" s="306"/>
    </row>
    <row r="766" spans="1:8" ht="15.75" customHeight="1">
      <c r="A766" s="304"/>
      <c r="B766" s="305"/>
      <c r="F766" s="306"/>
      <c r="G766" s="306"/>
      <c r="H766" s="306"/>
    </row>
    <row r="767" spans="1:8" ht="15.75" customHeight="1">
      <c r="A767" s="304"/>
      <c r="B767" s="305"/>
      <c r="F767" s="306"/>
      <c r="G767" s="306"/>
      <c r="H767" s="306"/>
    </row>
    <row r="768" spans="1:8" ht="15.75" customHeight="1">
      <c r="A768" s="304"/>
      <c r="B768" s="305"/>
      <c r="F768" s="306"/>
      <c r="G768" s="306"/>
      <c r="H768" s="306"/>
    </row>
    <row r="769" spans="1:8" ht="15.75" customHeight="1">
      <c r="A769" s="304"/>
      <c r="B769" s="305"/>
      <c r="F769" s="306"/>
      <c r="G769" s="306"/>
      <c r="H769" s="306"/>
    </row>
    <row r="770" spans="1:8" ht="15.75" customHeight="1">
      <c r="A770" s="304"/>
      <c r="B770" s="305"/>
      <c r="F770" s="306"/>
      <c r="G770" s="306"/>
      <c r="H770" s="306"/>
    </row>
    <row r="771" spans="1:8" ht="15.75" customHeight="1">
      <c r="A771" s="304"/>
      <c r="B771" s="305"/>
      <c r="F771" s="306"/>
      <c r="G771" s="306"/>
      <c r="H771" s="306"/>
    </row>
    <row r="772" spans="1:8" ht="15.75" customHeight="1">
      <c r="A772" s="304"/>
      <c r="B772" s="305"/>
      <c r="F772" s="306"/>
      <c r="G772" s="306"/>
      <c r="H772" s="306"/>
    </row>
    <row r="773" spans="1:8" ht="15.75" customHeight="1">
      <c r="A773" s="304"/>
      <c r="B773" s="305"/>
      <c r="F773" s="306"/>
      <c r="G773" s="306"/>
      <c r="H773" s="306"/>
    </row>
    <row r="774" spans="1:8" ht="15.75" customHeight="1">
      <c r="A774" s="304"/>
      <c r="B774" s="305"/>
      <c r="F774" s="306"/>
      <c r="G774" s="306"/>
      <c r="H774" s="306"/>
    </row>
    <row r="775" spans="1:8" ht="15.75" customHeight="1">
      <c r="A775" s="304"/>
      <c r="B775" s="305"/>
      <c r="F775" s="306"/>
      <c r="G775" s="306"/>
      <c r="H775" s="306"/>
    </row>
    <row r="776" spans="1:8" ht="15.75" customHeight="1">
      <c r="A776" s="304"/>
      <c r="B776" s="305"/>
      <c r="F776" s="306"/>
      <c r="G776" s="306"/>
      <c r="H776" s="306"/>
    </row>
    <row r="777" spans="1:8" ht="15.75" customHeight="1">
      <c r="A777" s="304"/>
      <c r="B777" s="305"/>
      <c r="F777" s="306"/>
      <c r="G777" s="306"/>
      <c r="H777" s="306"/>
    </row>
    <row r="778" spans="1:8" ht="15.75" customHeight="1">
      <c r="A778" s="304"/>
      <c r="B778" s="305"/>
      <c r="F778" s="306"/>
      <c r="G778" s="306"/>
      <c r="H778" s="306"/>
    </row>
    <row r="779" spans="1:8" ht="15.75" customHeight="1">
      <c r="A779" s="304"/>
      <c r="B779" s="305"/>
      <c r="F779" s="306"/>
      <c r="G779" s="306"/>
      <c r="H779" s="306"/>
    </row>
    <row r="780" spans="1:8" ht="15.75" customHeight="1">
      <c r="A780" s="304"/>
      <c r="B780" s="305"/>
      <c r="F780" s="306"/>
      <c r="G780" s="306"/>
      <c r="H780" s="306"/>
    </row>
    <row r="781" spans="1:8" ht="15.75" customHeight="1">
      <c r="A781" s="304"/>
      <c r="B781" s="305"/>
      <c r="F781" s="306"/>
      <c r="G781" s="306"/>
      <c r="H781" s="306"/>
    </row>
    <row r="782" spans="1:8" ht="15.75" customHeight="1">
      <c r="A782" s="304"/>
      <c r="B782" s="305"/>
      <c r="F782" s="306"/>
      <c r="G782" s="306"/>
      <c r="H782" s="306"/>
    </row>
    <row r="783" spans="1:8" ht="15.75" customHeight="1">
      <c r="A783" s="304"/>
      <c r="B783" s="305"/>
      <c r="F783" s="306"/>
      <c r="G783" s="306"/>
      <c r="H783" s="306"/>
    </row>
    <row r="784" spans="1:8" ht="15.75" customHeight="1">
      <c r="A784" s="304"/>
      <c r="B784" s="305"/>
      <c r="F784" s="306"/>
      <c r="G784" s="306"/>
      <c r="H784" s="306"/>
    </row>
    <row r="785" spans="1:8" ht="15.75" customHeight="1">
      <c r="A785" s="304"/>
      <c r="B785" s="305"/>
      <c r="F785" s="306"/>
      <c r="G785" s="306"/>
      <c r="H785" s="306"/>
    </row>
    <row r="786" spans="1:8" ht="15.75" customHeight="1">
      <c r="A786" s="304"/>
      <c r="B786" s="305"/>
      <c r="F786" s="306"/>
      <c r="G786" s="306"/>
      <c r="H786" s="306"/>
    </row>
    <row r="787" spans="1:8" ht="15.75" customHeight="1">
      <c r="A787" s="304"/>
      <c r="B787" s="305"/>
      <c r="F787" s="306"/>
      <c r="G787" s="306"/>
      <c r="H787" s="306"/>
    </row>
    <row r="788" spans="1:8" ht="15.75" customHeight="1">
      <c r="A788" s="304"/>
      <c r="B788" s="305"/>
      <c r="F788" s="306"/>
      <c r="G788" s="306"/>
      <c r="H788" s="306"/>
    </row>
    <row r="789" spans="1:8" ht="15.75" customHeight="1">
      <c r="A789" s="304"/>
      <c r="B789" s="305"/>
      <c r="F789" s="306"/>
      <c r="G789" s="306"/>
      <c r="H789" s="306"/>
    </row>
    <row r="790" spans="1:8" ht="15.75" customHeight="1">
      <c r="A790" s="304"/>
      <c r="B790" s="305"/>
      <c r="F790" s="306"/>
      <c r="G790" s="306"/>
      <c r="H790" s="306"/>
    </row>
    <row r="791" spans="1:8" ht="15.75" customHeight="1">
      <c r="A791" s="304"/>
      <c r="B791" s="305"/>
      <c r="F791" s="306"/>
      <c r="G791" s="306"/>
      <c r="H791" s="306"/>
    </row>
    <row r="792" spans="1:8" ht="15.75" customHeight="1">
      <c r="A792" s="304"/>
      <c r="B792" s="305"/>
      <c r="F792" s="306"/>
      <c r="G792" s="306"/>
      <c r="H792" s="306"/>
    </row>
    <row r="793" spans="1:8" ht="15.75" customHeight="1">
      <c r="A793" s="304"/>
      <c r="B793" s="305"/>
      <c r="F793" s="306"/>
      <c r="G793" s="306"/>
      <c r="H793" s="306"/>
    </row>
    <row r="794" spans="1:8" ht="15.75" customHeight="1">
      <c r="A794" s="304"/>
      <c r="B794" s="305"/>
      <c r="F794" s="306"/>
      <c r="G794" s="306"/>
      <c r="H794" s="306"/>
    </row>
    <row r="795" spans="1:8" ht="15.75" customHeight="1">
      <c r="A795" s="304"/>
      <c r="B795" s="305"/>
      <c r="F795" s="306"/>
      <c r="G795" s="306"/>
      <c r="H795" s="306"/>
    </row>
    <row r="796" spans="1:8" ht="15.75" customHeight="1">
      <c r="A796" s="304"/>
      <c r="B796" s="305"/>
      <c r="F796" s="306"/>
      <c r="G796" s="306"/>
      <c r="H796" s="306"/>
    </row>
    <row r="797" spans="1:8" ht="15.75" customHeight="1">
      <c r="A797" s="304"/>
      <c r="B797" s="305"/>
      <c r="F797" s="306"/>
      <c r="G797" s="306"/>
      <c r="H797" s="306"/>
    </row>
    <row r="798" spans="1:8" ht="15.75" customHeight="1">
      <c r="A798" s="304"/>
      <c r="B798" s="305"/>
      <c r="F798" s="306"/>
      <c r="G798" s="306"/>
      <c r="H798" s="306"/>
    </row>
    <row r="799" spans="1:8" ht="15.75" customHeight="1">
      <c r="A799" s="304"/>
      <c r="B799" s="305"/>
      <c r="F799" s="306"/>
      <c r="G799" s="306"/>
      <c r="H799" s="306"/>
    </row>
    <row r="800" spans="1:8" ht="15.75" customHeight="1">
      <c r="A800" s="304"/>
      <c r="B800" s="305"/>
      <c r="F800" s="306"/>
      <c r="G800" s="306"/>
      <c r="H800" s="306"/>
    </row>
    <row r="801" spans="1:8" ht="15.75" customHeight="1">
      <c r="A801" s="304"/>
      <c r="B801" s="305"/>
      <c r="F801" s="306"/>
      <c r="G801" s="306"/>
      <c r="H801" s="306"/>
    </row>
    <row r="802" spans="1:8" ht="15.75" customHeight="1">
      <c r="A802" s="304"/>
      <c r="B802" s="305"/>
      <c r="F802" s="306"/>
      <c r="G802" s="306"/>
      <c r="H802" s="306"/>
    </row>
    <row r="803" spans="1:8" ht="15.75" customHeight="1">
      <c r="A803" s="304"/>
      <c r="B803" s="305"/>
      <c r="F803" s="306"/>
      <c r="G803" s="306"/>
      <c r="H803" s="306"/>
    </row>
    <row r="804" spans="1:8" ht="15.75" customHeight="1">
      <c r="A804" s="304"/>
      <c r="B804" s="305"/>
      <c r="F804" s="306"/>
      <c r="G804" s="306"/>
      <c r="H804" s="306"/>
    </row>
    <row r="805" spans="1:8" ht="15.75" customHeight="1">
      <c r="A805" s="304"/>
      <c r="B805" s="305"/>
      <c r="F805" s="306"/>
      <c r="G805" s="306"/>
      <c r="H805" s="306"/>
    </row>
    <row r="806" spans="1:8" ht="15.75" customHeight="1">
      <c r="A806" s="304"/>
      <c r="B806" s="305"/>
      <c r="F806" s="306"/>
      <c r="G806" s="306"/>
      <c r="H806" s="306"/>
    </row>
    <row r="807" spans="1:8" ht="15.75" customHeight="1">
      <c r="A807" s="304"/>
      <c r="B807" s="305"/>
      <c r="F807" s="306"/>
      <c r="G807" s="306"/>
      <c r="H807" s="306"/>
    </row>
    <row r="808" spans="1:8" ht="15.75" customHeight="1">
      <c r="A808" s="304"/>
      <c r="B808" s="305"/>
      <c r="F808" s="306"/>
      <c r="G808" s="306"/>
      <c r="H808" s="306"/>
    </row>
    <row r="809" spans="1:8" ht="15.75" customHeight="1">
      <c r="A809" s="304"/>
      <c r="B809" s="305"/>
      <c r="F809" s="306"/>
      <c r="G809" s="306"/>
      <c r="H809" s="306"/>
    </row>
    <row r="810" spans="1:8" ht="15.75" customHeight="1">
      <c r="A810" s="304"/>
      <c r="B810" s="305"/>
      <c r="F810" s="306"/>
      <c r="G810" s="306"/>
      <c r="H810" s="306"/>
    </row>
    <row r="811" spans="1:8" ht="15.75" customHeight="1">
      <c r="A811" s="304"/>
      <c r="B811" s="305"/>
      <c r="F811" s="306"/>
      <c r="G811" s="306"/>
      <c r="H811" s="306"/>
    </row>
    <row r="812" spans="1:8" ht="15.75" customHeight="1">
      <c r="A812" s="304"/>
      <c r="B812" s="305"/>
      <c r="F812" s="306"/>
      <c r="G812" s="306"/>
      <c r="H812" s="306"/>
    </row>
    <row r="813" spans="1:8" ht="15.75" customHeight="1">
      <c r="A813" s="304"/>
      <c r="B813" s="305"/>
      <c r="F813" s="306"/>
      <c r="G813" s="306"/>
      <c r="H813" s="306"/>
    </row>
    <row r="814" spans="1:8" ht="15.75" customHeight="1">
      <c r="A814" s="304"/>
      <c r="B814" s="305"/>
      <c r="F814" s="306"/>
      <c r="G814" s="306"/>
      <c r="H814" s="306"/>
    </row>
    <row r="815" spans="1:8" ht="15.75" customHeight="1">
      <c r="A815" s="304"/>
      <c r="B815" s="305"/>
      <c r="F815" s="306"/>
      <c r="G815" s="306"/>
      <c r="H815" s="306"/>
    </row>
    <row r="816" spans="1:8" ht="15.75" customHeight="1">
      <c r="A816" s="304"/>
      <c r="B816" s="305"/>
      <c r="F816" s="306"/>
      <c r="G816" s="306"/>
      <c r="H816" s="306"/>
    </row>
    <row r="817" spans="1:8" ht="15.75" customHeight="1">
      <c r="A817" s="304"/>
      <c r="B817" s="305"/>
      <c r="F817" s="306"/>
      <c r="G817" s="306"/>
      <c r="H817" s="306"/>
    </row>
    <row r="818" spans="1:8" ht="15.75" customHeight="1">
      <c r="A818" s="304"/>
      <c r="B818" s="305"/>
      <c r="F818" s="306"/>
      <c r="G818" s="306"/>
      <c r="H818" s="306"/>
    </row>
    <row r="819" spans="1:8" ht="15.75" customHeight="1">
      <c r="A819" s="304"/>
      <c r="B819" s="305"/>
      <c r="F819" s="306"/>
      <c r="G819" s="306"/>
      <c r="H819" s="306"/>
    </row>
    <row r="820" spans="1:8" ht="15.75" customHeight="1">
      <c r="A820" s="304"/>
      <c r="B820" s="305"/>
      <c r="F820" s="306"/>
      <c r="G820" s="306"/>
      <c r="H820" s="306"/>
    </row>
    <row r="821" spans="1:8" ht="15.75" customHeight="1">
      <c r="A821" s="304"/>
      <c r="B821" s="305"/>
      <c r="F821" s="306"/>
      <c r="G821" s="306"/>
      <c r="H821" s="306"/>
    </row>
    <row r="822" spans="1:8" ht="15.75" customHeight="1">
      <c r="A822" s="304"/>
      <c r="B822" s="305"/>
      <c r="F822" s="306"/>
      <c r="G822" s="306"/>
      <c r="H822" s="306"/>
    </row>
    <row r="823" spans="1:8" ht="15.75" customHeight="1">
      <c r="A823" s="304"/>
      <c r="B823" s="305"/>
      <c r="F823" s="306"/>
      <c r="G823" s="306"/>
      <c r="H823" s="306"/>
    </row>
    <row r="824" spans="1:8" ht="15.75" customHeight="1">
      <c r="A824" s="304"/>
      <c r="B824" s="305"/>
      <c r="F824" s="306"/>
      <c r="G824" s="306"/>
      <c r="H824" s="306"/>
    </row>
    <row r="825" spans="1:8" ht="15.75" customHeight="1">
      <c r="A825" s="304"/>
      <c r="B825" s="305"/>
      <c r="F825" s="306"/>
      <c r="G825" s="306"/>
      <c r="H825" s="306"/>
    </row>
    <row r="826" spans="1:8" ht="15.75" customHeight="1">
      <c r="A826" s="304"/>
      <c r="B826" s="305"/>
      <c r="F826" s="306"/>
      <c r="G826" s="306"/>
      <c r="H826" s="306"/>
    </row>
    <row r="827" spans="1:8" ht="15.75" customHeight="1">
      <c r="A827" s="304"/>
      <c r="B827" s="305"/>
      <c r="F827" s="306"/>
      <c r="G827" s="306"/>
      <c r="H827" s="306"/>
    </row>
    <row r="828" spans="1:8" ht="15.75" customHeight="1">
      <c r="A828" s="304"/>
      <c r="B828" s="305"/>
      <c r="F828" s="306"/>
      <c r="G828" s="306"/>
      <c r="H828" s="306"/>
    </row>
    <row r="829" spans="1:8" ht="15.75" customHeight="1">
      <c r="A829" s="304"/>
      <c r="B829" s="305"/>
      <c r="F829" s="306"/>
      <c r="G829" s="306"/>
      <c r="H829" s="306"/>
    </row>
    <row r="830" spans="1:8" ht="15.75" customHeight="1">
      <c r="A830" s="304"/>
      <c r="B830" s="305"/>
      <c r="F830" s="306"/>
      <c r="G830" s="306"/>
      <c r="H830" s="306"/>
    </row>
    <row r="831" spans="1:8" ht="15.75" customHeight="1">
      <c r="A831" s="304"/>
      <c r="B831" s="305"/>
      <c r="F831" s="306"/>
      <c r="G831" s="306"/>
      <c r="H831" s="306"/>
    </row>
    <row r="832" spans="1:8" ht="15.75" customHeight="1">
      <c r="A832" s="304"/>
      <c r="B832" s="305"/>
      <c r="F832" s="306"/>
      <c r="G832" s="306"/>
      <c r="H832" s="306"/>
    </row>
    <row r="833" spans="1:8" ht="15.75" customHeight="1">
      <c r="A833" s="304"/>
      <c r="B833" s="305"/>
      <c r="F833" s="306"/>
      <c r="G833" s="306"/>
      <c r="H833" s="306"/>
    </row>
    <row r="834" spans="1:8" ht="15.75" customHeight="1">
      <c r="A834" s="304"/>
      <c r="B834" s="305"/>
      <c r="F834" s="306"/>
      <c r="G834" s="306"/>
      <c r="H834" s="306"/>
    </row>
    <row r="835" spans="1:8" ht="15.75" customHeight="1">
      <c r="A835" s="304"/>
      <c r="B835" s="305"/>
      <c r="F835" s="306"/>
      <c r="G835" s="306"/>
      <c r="H835" s="306"/>
    </row>
    <row r="836" spans="1:8" ht="15.75" customHeight="1">
      <c r="A836" s="304"/>
      <c r="B836" s="305"/>
      <c r="F836" s="306"/>
      <c r="G836" s="306"/>
      <c r="H836" s="306"/>
    </row>
    <row r="837" spans="1:8" ht="15.75" customHeight="1">
      <c r="A837" s="304"/>
      <c r="B837" s="305"/>
      <c r="F837" s="306"/>
      <c r="G837" s="306"/>
      <c r="H837" s="306"/>
    </row>
    <row r="838" spans="1:8" ht="15.75" customHeight="1">
      <c r="A838" s="304"/>
      <c r="B838" s="305"/>
      <c r="F838" s="306"/>
      <c r="G838" s="306"/>
      <c r="H838" s="306"/>
    </row>
    <row r="839" spans="1:8" ht="15.75" customHeight="1">
      <c r="A839" s="304"/>
      <c r="B839" s="305"/>
      <c r="F839" s="306"/>
      <c r="G839" s="306"/>
      <c r="H839" s="306"/>
    </row>
    <row r="840" spans="1:8" ht="15.75" customHeight="1">
      <c r="A840" s="304"/>
      <c r="B840" s="305"/>
      <c r="F840" s="306"/>
      <c r="G840" s="306"/>
      <c r="H840" s="306"/>
    </row>
    <row r="841" spans="1:8" ht="15.75" customHeight="1">
      <c r="A841" s="304"/>
      <c r="B841" s="305"/>
      <c r="F841" s="306"/>
      <c r="G841" s="306"/>
      <c r="H841" s="306"/>
    </row>
    <row r="842" spans="1:8" ht="15.75" customHeight="1">
      <c r="A842" s="304"/>
      <c r="B842" s="305"/>
      <c r="F842" s="306"/>
      <c r="G842" s="306"/>
      <c r="H842" s="306"/>
    </row>
    <row r="843" spans="1:8" ht="15.75" customHeight="1">
      <c r="A843" s="304"/>
      <c r="B843" s="305"/>
      <c r="F843" s="306"/>
      <c r="G843" s="306"/>
      <c r="H843" s="306"/>
    </row>
    <row r="844" spans="1:8" ht="15.75" customHeight="1">
      <c r="A844" s="304"/>
      <c r="B844" s="305"/>
      <c r="F844" s="306"/>
      <c r="G844" s="306"/>
      <c r="H844" s="306"/>
    </row>
    <row r="845" spans="1:8" ht="15.75" customHeight="1">
      <c r="A845" s="304"/>
      <c r="B845" s="305"/>
      <c r="F845" s="306"/>
      <c r="G845" s="306"/>
      <c r="H845" s="306"/>
    </row>
    <row r="846" spans="1:8" ht="15.75" customHeight="1">
      <c r="A846" s="304"/>
      <c r="B846" s="305"/>
      <c r="F846" s="306"/>
      <c r="G846" s="306"/>
      <c r="H846" s="306"/>
    </row>
    <row r="847" spans="1:8" ht="15.75" customHeight="1">
      <c r="A847" s="304"/>
      <c r="B847" s="305"/>
      <c r="F847" s="306"/>
      <c r="G847" s="306"/>
      <c r="H847" s="306"/>
    </row>
    <row r="848" spans="1:8" ht="15.75" customHeight="1">
      <c r="A848" s="304"/>
      <c r="B848" s="305"/>
      <c r="F848" s="306"/>
      <c r="G848" s="306"/>
      <c r="H848" s="306"/>
    </row>
    <row r="849" spans="1:8" ht="15.75" customHeight="1">
      <c r="A849" s="304"/>
      <c r="B849" s="305"/>
      <c r="F849" s="306"/>
      <c r="G849" s="306"/>
      <c r="H849" s="306"/>
    </row>
    <row r="850" spans="1:8" ht="15.75" customHeight="1">
      <c r="A850" s="304"/>
      <c r="B850" s="305"/>
      <c r="F850" s="306"/>
      <c r="G850" s="306"/>
      <c r="H850" s="306"/>
    </row>
    <row r="851" spans="1:8" ht="15.75" customHeight="1">
      <c r="A851" s="304"/>
      <c r="B851" s="305"/>
      <c r="F851" s="306"/>
      <c r="G851" s="306"/>
      <c r="H851" s="306"/>
    </row>
    <row r="852" spans="1:8" ht="15.75" customHeight="1">
      <c r="A852" s="304"/>
      <c r="B852" s="305"/>
      <c r="F852" s="306"/>
      <c r="G852" s="306"/>
      <c r="H852" s="306"/>
    </row>
    <row r="853" spans="1:8" ht="15.75" customHeight="1">
      <c r="A853" s="304"/>
      <c r="B853" s="305"/>
      <c r="F853" s="306"/>
      <c r="G853" s="306"/>
      <c r="H853" s="306"/>
    </row>
    <row r="854" spans="1:8" ht="15.75" customHeight="1">
      <c r="A854" s="304"/>
      <c r="B854" s="305"/>
      <c r="F854" s="306"/>
      <c r="G854" s="306"/>
      <c r="H854" s="306"/>
    </row>
    <row r="855" spans="1:8" ht="15.75" customHeight="1">
      <c r="A855" s="304"/>
      <c r="B855" s="305"/>
      <c r="F855" s="306"/>
      <c r="G855" s="306"/>
      <c r="H855" s="306"/>
    </row>
    <row r="856" spans="1:8" ht="15.75" customHeight="1">
      <c r="A856" s="304"/>
      <c r="B856" s="305"/>
      <c r="F856" s="306"/>
      <c r="G856" s="306"/>
      <c r="H856" s="306"/>
    </row>
    <row r="857" spans="1:8" ht="15.75" customHeight="1">
      <c r="A857" s="304"/>
      <c r="B857" s="305"/>
      <c r="F857" s="306"/>
      <c r="G857" s="306"/>
      <c r="H857" s="306"/>
    </row>
    <row r="858" spans="1:8" ht="15.75" customHeight="1">
      <c r="A858" s="304"/>
      <c r="B858" s="305"/>
      <c r="F858" s="306"/>
      <c r="G858" s="306"/>
      <c r="H858" s="306"/>
    </row>
    <row r="859" spans="1:8" ht="15.75" customHeight="1">
      <c r="A859" s="304"/>
      <c r="B859" s="305"/>
      <c r="F859" s="306"/>
      <c r="G859" s="306"/>
      <c r="H859" s="306"/>
    </row>
    <row r="860" spans="1:8" ht="15.75" customHeight="1">
      <c r="A860" s="304"/>
      <c r="B860" s="305"/>
      <c r="F860" s="306"/>
      <c r="G860" s="306"/>
      <c r="H860" s="306"/>
    </row>
    <row r="861" spans="1:8" ht="15.75" customHeight="1">
      <c r="A861" s="304"/>
      <c r="B861" s="305"/>
      <c r="F861" s="306"/>
      <c r="G861" s="306"/>
      <c r="H861" s="306"/>
    </row>
    <row r="862" spans="1:8" ht="15.75" customHeight="1">
      <c r="A862" s="304"/>
      <c r="B862" s="305"/>
      <c r="F862" s="306"/>
      <c r="G862" s="306"/>
      <c r="H862" s="306"/>
    </row>
    <row r="863" spans="1:8" ht="15.75" customHeight="1">
      <c r="A863" s="304"/>
      <c r="B863" s="305"/>
      <c r="F863" s="306"/>
      <c r="G863" s="306"/>
      <c r="H863" s="306"/>
    </row>
    <row r="864" spans="1:8" ht="15.75" customHeight="1">
      <c r="A864" s="304"/>
      <c r="B864" s="305"/>
      <c r="F864" s="306"/>
      <c r="G864" s="306"/>
      <c r="H864" s="306"/>
    </row>
    <row r="865" spans="1:8" ht="15.75" customHeight="1">
      <c r="A865" s="304"/>
      <c r="B865" s="305"/>
      <c r="F865" s="306"/>
      <c r="G865" s="306"/>
      <c r="H865" s="306"/>
    </row>
    <row r="866" spans="1:8" ht="15.75" customHeight="1">
      <c r="A866" s="304"/>
      <c r="B866" s="305"/>
      <c r="F866" s="306"/>
      <c r="G866" s="306"/>
      <c r="H866" s="306"/>
    </row>
    <row r="867" spans="1:8" ht="15.75" customHeight="1">
      <c r="A867" s="304"/>
      <c r="B867" s="305"/>
      <c r="F867" s="306"/>
      <c r="G867" s="306"/>
      <c r="H867" s="306"/>
    </row>
    <row r="868" spans="1:8" ht="15.75" customHeight="1">
      <c r="A868" s="304"/>
      <c r="B868" s="305"/>
      <c r="F868" s="306"/>
      <c r="G868" s="306"/>
      <c r="H868" s="306"/>
    </row>
    <row r="869" spans="1:8" ht="15.75" customHeight="1">
      <c r="A869" s="304"/>
      <c r="B869" s="305"/>
      <c r="F869" s="306"/>
      <c r="G869" s="306"/>
      <c r="H869" s="306"/>
    </row>
    <row r="870" spans="1:8" ht="15.75" customHeight="1">
      <c r="A870" s="304"/>
      <c r="B870" s="305"/>
      <c r="F870" s="306"/>
      <c r="G870" s="306"/>
      <c r="H870" s="306"/>
    </row>
    <row r="871" spans="1:8" ht="15.75" customHeight="1">
      <c r="A871" s="304"/>
      <c r="B871" s="305"/>
      <c r="F871" s="306"/>
      <c r="G871" s="306"/>
      <c r="H871" s="306"/>
    </row>
    <row r="872" spans="1:8" ht="15.75" customHeight="1">
      <c r="A872" s="304"/>
      <c r="B872" s="305"/>
      <c r="F872" s="306"/>
      <c r="G872" s="306"/>
      <c r="H872" s="306"/>
    </row>
    <row r="873" spans="1:8" ht="15.75" customHeight="1">
      <c r="A873" s="304"/>
      <c r="B873" s="305"/>
      <c r="F873" s="306"/>
      <c r="G873" s="306"/>
      <c r="H873" s="306"/>
    </row>
    <row r="874" spans="1:8" ht="15.75" customHeight="1">
      <c r="A874" s="304"/>
      <c r="B874" s="305"/>
      <c r="F874" s="306"/>
      <c r="G874" s="306"/>
      <c r="H874" s="306"/>
    </row>
    <row r="875" spans="1:8" ht="15.75" customHeight="1">
      <c r="A875" s="304"/>
      <c r="B875" s="305"/>
      <c r="F875" s="306"/>
      <c r="G875" s="306"/>
      <c r="H875" s="306"/>
    </row>
    <row r="876" spans="1:8" ht="15.75" customHeight="1">
      <c r="A876" s="304"/>
      <c r="B876" s="305"/>
      <c r="F876" s="306"/>
      <c r="G876" s="306"/>
      <c r="H876" s="306"/>
    </row>
    <row r="877" spans="1:8" ht="15.75" customHeight="1">
      <c r="A877" s="304"/>
      <c r="B877" s="305"/>
      <c r="F877" s="306"/>
      <c r="G877" s="306"/>
      <c r="H877" s="306"/>
    </row>
    <row r="878" spans="1:8" ht="15.75" customHeight="1">
      <c r="A878" s="304"/>
      <c r="B878" s="305"/>
      <c r="F878" s="306"/>
      <c r="G878" s="306"/>
      <c r="H878" s="306"/>
    </row>
    <row r="879" spans="1:8" ht="15.75" customHeight="1">
      <c r="A879" s="304"/>
      <c r="B879" s="305"/>
      <c r="F879" s="306"/>
      <c r="G879" s="306"/>
      <c r="H879" s="306"/>
    </row>
    <row r="880" spans="1:8" ht="15.75" customHeight="1">
      <c r="A880" s="304"/>
      <c r="B880" s="305"/>
      <c r="F880" s="306"/>
      <c r="G880" s="306"/>
      <c r="H880" s="306"/>
    </row>
    <row r="881" spans="1:8" ht="15.75" customHeight="1">
      <c r="A881" s="304"/>
      <c r="B881" s="305"/>
      <c r="F881" s="306"/>
      <c r="G881" s="306"/>
      <c r="H881" s="306"/>
    </row>
    <row r="882" spans="1:8" ht="15.75" customHeight="1">
      <c r="A882" s="304"/>
      <c r="B882" s="305"/>
      <c r="F882" s="306"/>
      <c r="G882" s="306"/>
      <c r="H882" s="306"/>
    </row>
    <row r="883" spans="1:8" ht="15.75" customHeight="1">
      <c r="A883" s="304"/>
      <c r="B883" s="305"/>
      <c r="F883" s="306"/>
      <c r="G883" s="306"/>
      <c r="H883" s="306"/>
    </row>
    <row r="884" spans="1:8" ht="15.75" customHeight="1">
      <c r="A884" s="304"/>
      <c r="B884" s="305"/>
      <c r="F884" s="306"/>
      <c r="G884" s="306"/>
      <c r="H884" s="306"/>
    </row>
    <row r="885" spans="1:8" ht="15.75" customHeight="1">
      <c r="A885" s="304"/>
      <c r="B885" s="305"/>
      <c r="F885" s="306"/>
      <c r="G885" s="306"/>
      <c r="H885" s="306"/>
    </row>
    <row r="886" spans="1:8" ht="15.75" customHeight="1">
      <c r="A886" s="304"/>
      <c r="B886" s="305"/>
      <c r="F886" s="306"/>
      <c r="G886" s="306"/>
      <c r="H886" s="306"/>
    </row>
    <row r="887" spans="1:8" ht="15.75" customHeight="1">
      <c r="A887" s="304"/>
      <c r="B887" s="305"/>
      <c r="F887" s="306"/>
      <c r="G887" s="306"/>
      <c r="H887" s="306"/>
    </row>
    <row r="888" spans="1:8" ht="15.75" customHeight="1">
      <c r="A888" s="304"/>
      <c r="B888" s="305"/>
      <c r="F888" s="306"/>
      <c r="G888" s="306"/>
      <c r="H888" s="306"/>
    </row>
    <row r="889" spans="1:8" ht="15.75" customHeight="1">
      <c r="A889" s="304"/>
      <c r="B889" s="305"/>
      <c r="F889" s="306"/>
      <c r="G889" s="306"/>
      <c r="H889" s="306"/>
    </row>
    <row r="890" spans="1:8" ht="15.75" customHeight="1">
      <c r="A890" s="304"/>
      <c r="B890" s="305"/>
      <c r="F890" s="306"/>
      <c r="G890" s="306"/>
      <c r="H890" s="306"/>
    </row>
    <row r="891" spans="1:8" ht="15.75" customHeight="1">
      <c r="A891" s="304"/>
      <c r="B891" s="305"/>
      <c r="F891" s="306"/>
      <c r="G891" s="306"/>
      <c r="H891" s="306"/>
    </row>
    <row r="892" spans="1:8" ht="15.75" customHeight="1">
      <c r="A892" s="304"/>
      <c r="B892" s="305"/>
      <c r="F892" s="306"/>
      <c r="G892" s="306"/>
      <c r="H892" s="306"/>
    </row>
    <row r="893" spans="1:8" ht="15.75" customHeight="1">
      <c r="A893" s="304"/>
      <c r="B893" s="305"/>
      <c r="F893" s="306"/>
      <c r="G893" s="306"/>
      <c r="H893" s="306"/>
    </row>
    <row r="894" spans="1:8" ht="15.75" customHeight="1">
      <c r="A894" s="304"/>
      <c r="B894" s="305"/>
      <c r="F894" s="306"/>
      <c r="G894" s="306"/>
      <c r="H894" s="306"/>
    </row>
    <row r="895" spans="1:8" ht="15.75" customHeight="1">
      <c r="A895" s="304"/>
      <c r="B895" s="305"/>
      <c r="F895" s="306"/>
      <c r="G895" s="306"/>
      <c r="H895" s="306"/>
    </row>
    <row r="896" spans="1:8" ht="15.75" customHeight="1">
      <c r="A896" s="304"/>
      <c r="B896" s="305"/>
      <c r="F896" s="306"/>
      <c r="G896" s="306"/>
      <c r="H896" s="306"/>
    </row>
    <row r="897" spans="1:8" ht="15.75" customHeight="1">
      <c r="A897" s="304"/>
      <c r="B897" s="305"/>
      <c r="F897" s="306"/>
      <c r="G897" s="306"/>
      <c r="H897" s="306"/>
    </row>
    <row r="898" spans="1:8" ht="15.75" customHeight="1">
      <c r="A898" s="304"/>
      <c r="B898" s="305"/>
      <c r="F898" s="306"/>
      <c r="G898" s="306"/>
      <c r="H898" s="306"/>
    </row>
    <row r="899" spans="1:8" ht="15.75" customHeight="1">
      <c r="A899" s="304"/>
      <c r="B899" s="305"/>
      <c r="F899" s="306"/>
      <c r="G899" s="306"/>
      <c r="H899" s="306"/>
    </row>
    <row r="900" spans="1:8" ht="15.75" customHeight="1">
      <c r="A900" s="304"/>
      <c r="B900" s="305"/>
      <c r="F900" s="306"/>
      <c r="G900" s="306"/>
      <c r="H900" s="306"/>
    </row>
    <row r="901" spans="1:8" ht="15.75" customHeight="1">
      <c r="A901" s="304"/>
      <c r="B901" s="305"/>
      <c r="F901" s="306"/>
      <c r="G901" s="306"/>
      <c r="H901" s="306"/>
    </row>
    <row r="902" spans="1:8" ht="15.75" customHeight="1">
      <c r="A902" s="304"/>
      <c r="B902" s="305"/>
      <c r="F902" s="306"/>
      <c r="G902" s="306"/>
      <c r="H902" s="306"/>
    </row>
    <row r="903" spans="1:8" ht="15.75" customHeight="1">
      <c r="A903" s="304"/>
      <c r="B903" s="305"/>
      <c r="F903" s="306"/>
      <c r="G903" s="306"/>
      <c r="H903" s="306"/>
    </row>
    <row r="904" spans="1:8" ht="15.75" customHeight="1">
      <c r="A904" s="304"/>
      <c r="B904" s="305"/>
      <c r="F904" s="306"/>
      <c r="G904" s="306"/>
      <c r="H904" s="306"/>
    </row>
    <row r="905" spans="1:8" ht="15.75" customHeight="1">
      <c r="A905" s="304"/>
      <c r="B905" s="305"/>
      <c r="F905" s="306"/>
      <c r="G905" s="306"/>
      <c r="H905" s="306"/>
    </row>
    <row r="906" spans="1:8" ht="15.75" customHeight="1">
      <c r="A906" s="304"/>
      <c r="B906" s="305"/>
      <c r="F906" s="306"/>
      <c r="G906" s="306"/>
      <c r="H906" s="306"/>
    </row>
    <row r="907" spans="1:8" ht="15.75" customHeight="1">
      <c r="A907" s="304"/>
      <c r="B907" s="305"/>
      <c r="F907" s="306"/>
      <c r="G907" s="306"/>
      <c r="H907" s="306"/>
    </row>
    <row r="908" spans="1:8" ht="15.75" customHeight="1">
      <c r="A908" s="304"/>
      <c r="B908" s="305"/>
      <c r="F908" s="306"/>
      <c r="G908" s="306"/>
      <c r="H908" s="306"/>
    </row>
    <row r="909" spans="1:8" ht="15.75" customHeight="1">
      <c r="A909" s="304"/>
      <c r="B909" s="305"/>
      <c r="F909" s="306"/>
      <c r="G909" s="306"/>
      <c r="H909" s="306"/>
    </row>
    <row r="910" spans="1:8" ht="15.75" customHeight="1">
      <c r="A910" s="304"/>
      <c r="B910" s="305"/>
      <c r="F910" s="306"/>
      <c r="G910" s="306"/>
      <c r="H910" s="306"/>
    </row>
  </sheetData>
  <mergeCells count="9">
    <mergeCell ref="C4:D14"/>
    <mergeCell ref="C15:D19"/>
    <mergeCell ref="B20:D20"/>
    <mergeCell ref="A21:I21"/>
    <mergeCell ref="A1:I1"/>
    <mergeCell ref="A2:I2"/>
    <mergeCell ref="B3:D3"/>
    <mergeCell ref="A4:A19"/>
    <mergeCell ref="B4:B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DFCB-1C83-4F22-A8C1-9D34221E6F30}">
  <dimension ref="A1:I9"/>
  <sheetViews>
    <sheetView workbookViewId="0">
      <selection activeCell="P15" sqref="P15"/>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16.7109375" style="1" customWidth="1"/>
    <col min="8" max="8" width="16.140625" style="1" customWidth="1"/>
    <col min="9" max="9" width="12.7109375" style="1" bestFit="1" customWidth="1"/>
    <col min="10" max="16384" width="9.140625" style="1"/>
  </cols>
  <sheetData>
    <row r="1" spans="1:9" ht="24.75" customHeight="1">
      <c r="A1" s="713" t="s">
        <v>642</v>
      </c>
      <c r="B1" s="713"/>
      <c r="C1" s="713"/>
      <c r="D1" s="713"/>
      <c r="E1" s="713"/>
      <c r="F1" s="713"/>
      <c r="G1" s="713"/>
      <c r="H1" s="713"/>
      <c r="I1" s="713"/>
    </row>
    <row r="2" spans="1:9" ht="18.75">
      <c r="A2" s="714" t="s">
        <v>848</v>
      </c>
      <c r="B2" s="715"/>
      <c r="C2" s="715"/>
      <c r="D2" s="715"/>
      <c r="E2" s="715"/>
      <c r="F2" s="715"/>
      <c r="G2" s="715"/>
      <c r="H2" s="715"/>
      <c r="I2" s="715"/>
    </row>
    <row r="3" spans="1:9" s="22" customFormat="1" ht="31.5">
      <c r="A3" s="18" t="s">
        <v>48</v>
      </c>
      <c r="B3" s="716" t="s">
        <v>2</v>
      </c>
      <c r="C3" s="717"/>
      <c r="D3" s="718"/>
      <c r="E3" s="20" t="s">
        <v>49</v>
      </c>
      <c r="F3" s="18" t="s">
        <v>50</v>
      </c>
      <c r="G3" s="20" t="s">
        <v>51</v>
      </c>
      <c r="H3" s="19" t="s">
        <v>52</v>
      </c>
      <c r="I3" s="21" t="s">
        <v>53</v>
      </c>
    </row>
    <row r="4" spans="1:9" s="4" customFormat="1">
      <c r="A4" s="700">
        <v>2</v>
      </c>
      <c r="B4" s="884" t="s">
        <v>643</v>
      </c>
      <c r="C4" s="170" t="s">
        <v>138</v>
      </c>
      <c r="D4" s="170" t="s">
        <v>139</v>
      </c>
      <c r="E4" s="171" t="s">
        <v>288</v>
      </c>
      <c r="F4" s="171">
        <v>1</v>
      </c>
      <c r="G4" s="171" t="s">
        <v>644</v>
      </c>
      <c r="H4" s="12"/>
      <c r="I4" s="13"/>
    </row>
    <row r="5" spans="1:9" s="4" customFormat="1">
      <c r="A5" s="701"/>
      <c r="B5" s="725"/>
      <c r="C5" s="884" t="s">
        <v>127</v>
      </c>
      <c r="D5" s="170" t="s">
        <v>521</v>
      </c>
      <c r="E5" s="171" t="s">
        <v>645</v>
      </c>
      <c r="F5" s="171"/>
      <c r="G5" s="171" t="s">
        <v>646</v>
      </c>
      <c r="H5" s="12"/>
      <c r="I5" s="13"/>
    </row>
    <row r="6" spans="1:9" s="4" customFormat="1" ht="25.5">
      <c r="A6" s="701"/>
      <c r="B6" s="725"/>
      <c r="C6" s="725"/>
      <c r="D6" s="170" t="s">
        <v>647</v>
      </c>
      <c r="E6" s="171" t="s">
        <v>648</v>
      </c>
      <c r="F6" s="171"/>
      <c r="G6" s="171" t="s">
        <v>649</v>
      </c>
      <c r="H6" s="12"/>
      <c r="I6" s="13"/>
    </row>
    <row r="7" spans="1:9" s="4" customFormat="1">
      <c r="A7" s="710"/>
      <c r="B7" s="885"/>
      <c r="C7" s="885"/>
      <c r="D7" s="170" t="s">
        <v>77</v>
      </c>
      <c r="E7" s="171"/>
      <c r="F7" s="171"/>
      <c r="G7" s="171"/>
      <c r="H7" s="12"/>
      <c r="I7" s="13"/>
    </row>
    <row r="8" spans="1:9">
      <c r="A8" s="16"/>
      <c r="B8" s="694" t="s">
        <v>90</v>
      </c>
      <c r="C8" s="694"/>
      <c r="D8" s="694"/>
      <c r="E8" s="24"/>
      <c r="F8" s="24"/>
      <c r="G8" s="172" t="s">
        <v>650</v>
      </c>
      <c r="H8" s="25"/>
      <c r="I8" s="24"/>
    </row>
    <row r="9" spans="1:9" s="17" customFormat="1">
      <c r="A9" s="667" t="s">
        <v>91</v>
      </c>
      <c r="B9" s="668"/>
      <c r="C9" s="668"/>
      <c r="D9" s="668"/>
      <c r="E9" s="668"/>
      <c r="F9" s="668"/>
      <c r="G9" s="668"/>
      <c r="H9" s="668"/>
      <c r="I9" s="669"/>
    </row>
  </sheetData>
  <mergeCells count="8">
    <mergeCell ref="B8:D8"/>
    <mergeCell ref="A9:I9"/>
    <mergeCell ref="A1:I1"/>
    <mergeCell ref="A2:I2"/>
    <mergeCell ref="B3:D3"/>
    <mergeCell ref="A4:A7"/>
    <mergeCell ref="B4:B7"/>
    <mergeCell ref="C5:C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99F0-0083-43E1-8036-5F6DD0C8FCF6}">
  <dimension ref="A1:AA1004"/>
  <sheetViews>
    <sheetView workbookViewId="0">
      <selection activeCell="N9" sqref="N9"/>
    </sheetView>
  </sheetViews>
  <sheetFormatPr defaultColWidth="14.42578125" defaultRowHeight="15"/>
  <cols>
    <col min="1" max="1" width="22.28515625" customWidth="1"/>
    <col min="2" max="2" width="16.42578125" hidden="1" customWidth="1"/>
    <col min="3" max="6" width="16.42578125" customWidth="1"/>
    <col min="7" max="7" width="18.7109375" customWidth="1"/>
    <col min="8" max="8" width="35.42578125" customWidth="1"/>
    <col min="9" max="27" width="21.5703125" customWidth="1"/>
  </cols>
  <sheetData>
    <row r="1" spans="1:27" ht="28.5" customHeight="1">
      <c r="A1" s="889" t="s">
        <v>658</v>
      </c>
      <c r="B1" s="890"/>
      <c r="C1" s="890"/>
      <c r="D1" s="890"/>
      <c r="E1" s="890"/>
      <c r="F1" s="890"/>
      <c r="G1" s="890"/>
      <c r="H1" s="890"/>
      <c r="I1" s="184"/>
      <c r="J1" s="184"/>
      <c r="K1" s="184"/>
      <c r="L1" s="184"/>
      <c r="M1" s="184"/>
      <c r="N1" s="184"/>
      <c r="O1" s="184"/>
      <c r="P1" s="184"/>
      <c r="Q1" s="184"/>
      <c r="R1" s="184"/>
      <c r="S1" s="184"/>
      <c r="T1" s="184"/>
      <c r="U1" s="184"/>
      <c r="V1" s="184"/>
      <c r="W1" s="184"/>
      <c r="X1" s="184"/>
      <c r="Y1" s="184"/>
      <c r="Z1" s="184"/>
      <c r="AA1" s="184"/>
    </row>
    <row r="2" spans="1:27" ht="24.75" customHeight="1">
      <c r="A2" s="889" t="s">
        <v>756</v>
      </c>
      <c r="B2" s="889"/>
      <c r="C2" s="889"/>
      <c r="D2" s="889"/>
      <c r="E2" s="889"/>
      <c r="F2" s="889"/>
      <c r="G2" s="889"/>
      <c r="H2" s="889"/>
      <c r="I2" s="184"/>
      <c r="J2" s="184"/>
      <c r="K2" s="184"/>
      <c r="L2" s="184"/>
      <c r="M2" s="184"/>
      <c r="N2" s="184"/>
      <c r="O2" s="184"/>
      <c r="P2" s="184"/>
      <c r="Q2" s="184"/>
      <c r="R2" s="184"/>
      <c r="S2" s="184"/>
      <c r="T2" s="184"/>
      <c r="U2" s="184"/>
      <c r="V2" s="184"/>
      <c r="W2" s="184"/>
      <c r="X2" s="184"/>
      <c r="Y2" s="184"/>
      <c r="Z2" s="184"/>
      <c r="AA2" s="184"/>
    </row>
    <row r="3" spans="1:27" ht="18.75">
      <c r="A3" s="891" t="s">
        <v>659</v>
      </c>
      <c r="B3" s="891"/>
      <c r="C3" s="891"/>
      <c r="D3" s="891"/>
      <c r="E3" s="891"/>
      <c r="F3" s="891"/>
      <c r="G3" s="891"/>
      <c r="H3" s="891"/>
      <c r="I3" s="184"/>
      <c r="J3" s="184"/>
      <c r="K3" s="184"/>
      <c r="L3" s="184"/>
      <c r="M3" s="184"/>
      <c r="N3" s="184"/>
      <c r="O3" s="184"/>
      <c r="P3" s="184"/>
      <c r="Q3" s="184"/>
      <c r="R3" s="184"/>
      <c r="S3" s="184"/>
      <c r="T3" s="184"/>
      <c r="U3" s="184"/>
      <c r="V3" s="184"/>
      <c r="W3" s="184"/>
      <c r="X3" s="184"/>
      <c r="Y3" s="184"/>
      <c r="Z3" s="184"/>
      <c r="AA3" s="184"/>
    </row>
    <row r="4" spans="1:27" ht="25.5">
      <c r="A4" s="185" t="s">
        <v>660</v>
      </c>
      <c r="B4" s="186" t="s">
        <v>661</v>
      </c>
      <c r="C4" s="187"/>
      <c r="D4" s="188"/>
      <c r="E4" s="188"/>
      <c r="F4" s="188"/>
      <c r="G4" s="185" t="s">
        <v>662</v>
      </c>
      <c r="H4" s="189">
        <v>46094</v>
      </c>
      <c r="I4" s="190"/>
      <c r="J4" s="190"/>
      <c r="K4" s="190"/>
      <c r="L4" s="190"/>
      <c r="M4" s="190"/>
      <c r="N4" s="190"/>
      <c r="O4" s="190"/>
      <c r="P4" s="190"/>
      <c r="Q4" s="190"/>
      <c r="R4" s="190"/>
      <c r="S4" s="190"/>
      <c r="T4" s="190"/>
      <c r="U4" s="190"/>
      <c r="V4" s="190"/>
      <c r="W4" s="190"/>
      <c r="X4" s="190"/>
      <c r="Y4" s="190"/>
      <c r="Z4" s="190"/>
      <c r="AA4" s="190"/>
    </row>
    <row r="5" spans="1:27">
      <c r="A5" s="892" t="s">
        <v>663</v>
      </c>
      <c r="B5" s="191" t="s">
        <v>664</v>
      </c>
      <c r="C5" s="192" t="s">
        <v>665</v>
      </c>
      <c r="D5" s="192" t="s">
        <v>666</v>
      </c>
      <c r="E5" s="192" t="s">
        <v>667</v>
      </c>
      <c r="F5" s="192" t="s">
        <v>668</v>
      </c>
      <c r="G5" s="192" t="s">
        <v>670</v>
      </c>
      <c r="H5" s="895" t="s">
        <v>671</v>
      </c>
      <c r="I5" s="184"/>
      <c r="J5" s="184"/>
      <c r="K5" s="184"/>
      <c r="L5" s="184"/>
      <c r="M5" s="184"/>
      <c r="N5" s="184"/>
      <c r="O5" s="184"/>
      <c r="P5" s="184"/>
      <c r="Q5" s="184"/>
      <c r="R5" s="184"/>
      <c r="S5" s="184"/>
      <c r="T5" s="184"/>
      <c r="U5" s="184"/>
      <c r="V5" s="184"/>
      <c r="W5" s="184"/>
      <c r="X5" s="184"/>
      <c r="Y5" s="184"/>
      <c r="Z5" s="184"/>
      <c r="AA5" s="184"/>
    </row>
    <row r="6" spans="1:27" ht="25.5">
      <c r="A6" s="893"/>
      <c r="B6" s="191" t="s">
        <v>672</v>
      </c>
      <c r="C6" s="193" t="s">
        <v>673</v>
      </c>
      <c r="D6" s="193" t="s">
        <v>674</v>
      </c>
      <c r="E6" s="193" t="s">
        <v>675</v>
      </c>
      <c r="F6" s="193" t="s">
        <v>676</v>
      </c>
      <c r="G6" s="193" t="s">
        <v>677</v>
      </c>
      <c r="H6" s="893"/>
      <c r="I6" s="184"/>
      <c r="J6" s="184"/>
      <c r="K6" s="184"/>
      <c r="L6" s="184"/>
      <c r="M6" s="184"/>
      <c r="N6" s="184"/>
      <c r="O6" s="184"/>
      <c r="P6" s="184"/>
      <c r="Q6" s="184"/>
      <c r="R6" s="184"/>
      <c r="S6" s="184"/>
      <c r="T6" s="184"/>
      <c r="U6" s="184"/>
      <c r="V6" s="184"/>
      <c r="W6" s="184"/>
      <c r="X6" s="184"/>
      <c r="Y6" s="184"/>
      <c r="Z6" s="184"/>
      <c r="AA6" s="184"/>
    </row>
    <row r="7" spans="1:27" ht="25.5">
      <c r="A7" s="894"/>
      <c r="B7" s="194" t="s">
        <v>678</v>
      </c>
      <c r="C7" s="194" t="s">
        <v>679</v>
      </c>
      <c r="D7" s="194" t="s">
        <v>679</v>
      </c>
      <c r="E7" s="194" t="s">
        <v>679</v>
      </c>
      <c r="F7" s="194" t="s">
        <v>680</v>
      </c>
      <c r="G7" s="194" t="s">
        <v>679</v>
      </c>
      <c r="H7" s="894"/>
      <c r="I7" s="184"/>
      <c r="J7" s="184"/>
      <c r="K7" s="184"/>
      <c r="L7" s="184"/>
      <c r="M7" s="184"/>
      <c r="N7" s="184"/>
      <c r="O7" s="184"/>
      <c r="P7" s="184"/>
      <c r="Q7" s="184"/>
      <c r="R7" s="184"/>
      <c r="S7" s="184"/>
      <c r="T7" s="184"/>
      <c r="U7" s="184"/>
      <c r="V7" s="184"/>
      <c r="W7" s="184"/>
      <c r="X7" s="184"/>
      <c r="Y7" s="184"/>
      <c r="Z7" s="184"/>
      <c r="AA7" s="184"/>
    </row>
    <row r="8" spans="1:27">
      <c r="A8" s="886" t="s">
        <v>681</v>
      </c>
      <c r="B8" s="887"/>
      <c r="C8" s="887"/>
      <c r="D8" s="887"/>
      <c r="E8" s="887"/>
      <c r="F8" s="887"/>
      <c r="G8" s="887"/>
      <c r="H8" s="888"/>
      <c r="I8" s="190"/>
      <c r="J8" s="190"/>
      <c r="K8" s="190"/>
      <c r="L8" s="190"/>
      <c r="M8" s="190"/>
      <c r="N8" s="190"/>
      <c r="O8" s="190"/>
      <c r="P8" s="190"/>
      <c r="Q8" s="190"/>
      <c r="R8" s="190"/>
      <c r="S8" s="190"/>
      <c r="T8" s="190"/>
      <c r="U8" s="190"/>
      <c r="V8" s="190"/>
      <c r="W8" s="190"/>
      <c r="X8" s="190"/>
      <c r="Y8" s="190"/>
      <c r="Z8" s="190"/>
      <c r="AA8" s="190"/>
    </row>
    <row r="9" spans="1:27" ht="51.75">
      <c r="A9" s="173" t="s">
        <v>682</v>
      </c>
      <c r="B9" s="195">
        <f>(3924756)*30%</f>
        <v>1177426.8</v>
      </c>
      <c r="C9" s="196"/>
      <c r="D9" s="197"/>
      <c r="E9" s="175"/>
      <c r="F9" s="198"/>
      <c r="G9" s="176">
        <f t="shared" ref="G9:G25" si="0">SUM(C9:F9)</f>
        <v>0</v>
      </c>
      <c r="H9" s="199" t="s">
        <v>683</v>
      </c>
      <c r="I9" s="184"/>
      <c r="J9" s="184"/>
      <c r="K9" s="184"/>
      <c r="L9" s="184"/>
      <c r="M9" s="184"/>
      <c r="N9" s="184"/>
      <c r="O9" s="184"/>
      <c r="P9" s="184"/>
      <c r="Q9" s="184"/>
      <c r="R9" s="184"/>
      <c r="S9" s="184"/>
      <c r="T9" s="184"/>
      <c r="U9" s="184"/>
      <c r="V9" s="184"/>
      <c r="W9" s="184"/>
      <c r="X9" s="184"/>
      <c r="Y9" s="184"/>
      <c r="Z9" s="184"/>
      <c r="AA9" s="184"/>
    </row>
    <row r="10" spans="1:27" ht="51.75">
      <c r="A10" s="173" t="s">
        <v>651</v>
      </c>
      <c r="B10" s="174">
        <f>(1646907)*30%</f>
        <v>494072.1</v>
      </c>
      <c r="C10" s="175">
        <f t="shared" ref="C10:F10" si="1">(2400/12)*3*1175*30%</f>
        <v>211500</v>
      </c>
      <c r="D10" s="175">
        <f t="shared" si="1"/>
        <v>211500</v>
      </c>
      <c r="E10" s="175">
        <f t="shared" si="1"/>
        <v>211500</v>
      </c>
      <c r="F10" s="175">
        <f t="shared" si="1"/>
        <v>211500</v>
      </c>
      <c r="G10" s="176">
        <f t="shared" si="0"/>
        <v>846000</v>
      </c>
      <c r="H10" s="199" t="s">
        <v>684</v>
      </c>
      <c r="I10" s="184"/>
      <c r="J10" s="184"/>
      <c r="K10" s="184"/>
      <c r="L10" s="184"/>
      <c r="M10" s="184"/>
      <c r="N10" s="184"/>
      <c r="O10" s="184"/>
      <c r="P10" s="184"/>
      <c r="Q10" s="184"/>
      <c r="R10" s="184"/>
      <c r="S10" s="184"/>
      <c r="T10" s="184"/>
      <c r="U10" s="184"/>
      <c r="V10" s="184"/>
      <c r="W10" s="184"/>
      <c r="X10" s="184"/>
      <c r="Y10" s="184"/>
      <c r="Z10" s="184"/>
      <c r="AA10" s="184"/>
    </row>
    <row r="11" spans="1:27" ht="90">
      <c r="A11" s="173" t="s">
        <v>652</v>
      </c>
      <c r="B11" s="174">
        <f>(1048437)*30%</f>
        <v>314531.09999999998</v>
      </c>
      <c r="C11" s="175">
        <f t="shared" ref="C11:F11" si="2">160000*3*30%</f>
        <v>144000</v>
      </c>
      <c r="D11" s="175">
        <f t="shared" si="2"/>
        <v>144000</v>
      </c>
      <c r="E11" s="175">
        <f t="shared" si="2"/>
        <v>144000</v>
      </c>
      <c r="F11" s="175">
        <f t="shared" si="2"/>
        <v>144000</v>
      </c>
      <c r="G11" s="176">
        <f t="shared" si="0"/>
        <v>576000</v>
      </c>
      <c r="H11" s="199" t="s">
        <v>685</v>
      </c>
      <c r="I11" s="184"/>
      <c r="J11" s="184"/>
      <c r="K11" s="184"/>
      <c r="L11" s="184"/>
      <c r="M11" s="184"/>
      <c r="N11" s="184"/>
      <c r="O11" s="184"/>
      <c r="P11" s="184"/>
      <c r="Q11" s="184"/>
      <c r="R11" s="184"/>
      <c r="S11" s="184"/>
      <c r="T11" s="184"/>
      <c r="U11" s="184"/>
      <c r="V11" s="184"/>
      <c r="W11" s="184"/>
      <c r="X11" s="184"/>
      <c r="Y11" s="184"/>
      <c r="Z11" s="184"/>
      <c r="AA11" s="184"/>
    </row>
    <row r="12" spans="1:27" ht="64.5">
      <c r="A12" s="173" t="s">
        <v>653</v>
      </c>
      <c r="B12" s="174">
        <v>1940000</v>
      </c>
      <c r="C12" s="175">
        <f>23010000-35*55000</f>
        <v>21085000</v>
      </c>
      <c r="D12" s="175"/>
      <c r="E12" s="175"/>
      <c r="F12" s="175"/>
      <c r="G12" s="176">
        <f t="shared" si="0"/>
        <v>21085000</v>
      </c>
      <c r="H12" s="199" t="s">
        <v>686</v>
      </c>
      <c r="I12" s="184"/>
      <c r="J12" s="184"/>
      <c r="K12" s="184"/>
      <c r="L12" s="184"/>
      <c r="M12" s="184"/>
      <c r="N12" s="184"/>
      <c r="O12" s="184"/>
      <c r="P12" s="184"/>
      <c r="Q12" s="184"/>
      <c r="R12" s="184"/>
      <c r="S12" s="184"/>
      <c r="T12" s="184"/>
      <c r="U12" s="184"/>
      <c r="V12" s="184"/>
      <c r="W12" s="184"/>
      <c r="X12" s="184"/>
      <c r="Y12" s="184"/>
      <c r="Z12" s="184"/>
      <c r="AA12" s="184"/>
    </row>
    <row r="13" spans="1:27" ht="64.5">
      <c r="A13" s="173" t="s">
        <v>654</v>
      </c>
      <c r="B13" s="177"/>
      <c r="C13" s="175">
        <f t="shared" ref="C13:D13" si="3">(10000*3)+150000+100000</f>
        <v>280000</v>
      </c>
      <c r="D13" s="175">
        <f t="shared" si="3"/>
        <v>280000</v>
      </c>
      <c r="E13" s="175">
        <f t="shared" ref="E13:F13" si="4">(10000*3)</f>
        <v>30000</v>
      </c>
      <c r="F13" s="175">
        <f t="shared" si="4"/>
        <v>30000</v>
      </c>
      <c r="G13" s="176">
        <f t="shared" si="0"/>
        <v>620000</v>
      </c>
      <c r="H13" s="200" t="s">
        <v>687</v>
      </c>
      <c r="I13" s="184"/>
      <c r="J13" s="184"/>
      <c r="K13" s="184"/>
      <c r="L13" s="184"/>
      <c r="M13" s="184"/>
      <c r="N13" s="184"/>
      <c r="O13" s="184"/>
      <c r="P13" s="184"/>
      <c r="Q13" s="184"/>
      <c r="R13" s="184"/>
      <c r="S13" s="184"/>
      <c r="T13" s="184"/>
      <c r="U13" s="184"/>
      <c r="V13" s="184"/>
      <c r="W13" s="184"/>
      <c r="X13" s="184"/>
      <c r="Y13" s="184"/>
      <c r="Z13" s="184"/>
      <c r="AA13" s="184"/>
    </row>
    <row r="14" spans="1:27" ht="39">
      <c r="A14" s="173" t="s">
        <v>655</v>
      </c>
      <c r="B14" s="178">
        <f>1350*(1100)/2</f>
        <v>742500</v>
      </c>
      <c r="C14" s="179">
        <f>(1350*(1100))/4</f>
        <v>371250</v>
      </c>
      <c r="D14" s="179">
        <f t="shared" ref="D14:F14" si="5">(1350*(1000+1100))/4</f>
        <v>708750</v>
      </c>
      <c r="E14" s="179">
        <f t="shared" si="5"/>
        <v>708750</v>
      </c>
      <c r="F14" s="179">
        <f t="shared" si="5"/>
        <v>708750</v>
      </c>
      <c r="G14" s="176">
        <f t="shared" si="0"/>
        <v>2497500</v>
      </c>
      <c r="H14" s="199" t="s">
        <v>688</v>
      </c>
      <c r="I14" s="184"/>
      <c r="J14" s="184"/>
      <c r="K14" s="184"/>
      <c r="L14" s="184"/>
      <c r="M14" s="184"/>
      <c r="N14" s="184"/>
      <c r="O14" s="184"/>
      <c r="P14" s="184"/>
      <c r="Q14" s="184"/>
      <c r="R14" s="184"/>
      <c r="S14" s="184"/>
      <c r="T14" s="184"/>
      <c r="U14" s="184"/>
      <c r="V14" s="184"/>
      <c r="W14" s="184"/>
      <c r="X14" s="184"/>
      <c r="Y14" s="184"/>
      <c r="Z14" s="184"/>
      <c r="AA14" s="184"/>
    </row>
    <row r="15" spans="1:27" ht="38.25">
      <c r="A15" s="180" t="s">
        <v>656</v>
      </c>
      <c r="B15" s="181"/>
      <c r="C15" s="182">
        <f t="shared" ref="C15:D15" si="6">(15000*95)/2</f>
        <v>712500</v>
      </c>
      <c r="D15" s="182">
        <f t="shared" si="6"/>
        <v>712500</v>
      </c>
      <c r="E15" s="183"/>
      <c r="F15" s="183"/>
      <c r="G15" s="176">
        <f t="shared" si="0"/>
        <v>1425000</v>
      </c>
      <c r="H15" s="201" t="s">
        <v>689</v>
      </c>
      <c r="I15" s="184"/>
      <c r="J15" s="184"/>
      <c r="K15" s="184"/>
      <c r="L15" s="184"/>
      <c r="M15" s="184"/>
      <c r="N15" s="184"/>
      <c r="O15" s="184"/>
      <c r="P15" s="184"/>
      <c r="Q15" s="184"/>
      <c r="R15" s="184"/>
      <c r="S15" s="184"/>
      <c r="T15" s="184"/>
      <c r="U15" s="184"/>
      <c r="V15" s="184"/>
      <c r="W15" s="184"/>
      <c r="X15" s="184"/>
      <c r="Y15" s="184"/>
      <c r="Z15" s="184"/>
      <c r="AA15" s="184"/>
    </row>
    <row r="16" spans="1:27" ht="38.25">
      <c r="A16" s="180" t="s">
        <v>657</v>
      </c>
      <c r="B16" s="181"/>
      <c r="C16" s="182">
        <v>570000</v>
      </c>
      <c r="D16" s="183"/>
      <c r="E16" s="183"/>
      <c r="F16" s="183"/>
      <c r="G16" s="176">
        <f t="shared" si="0"/>
        <v>570000</v>
      </c>
      <c r="H16" s="201" t="s">
        <v>690</v>
      </c>
      <c r="I16" s="184"/>
      <c r="J16" s="184"/>
      <c r="K16" s="184"/>
      <c r="L16" s="184"/>
      <c r="M16" s="184"/>
      <c r="N16" s="184"/>
      <c r="O16" s="184"/>
      <c r="P16" s="184"/>
      <c r="Q16" s="184"/>
      <c r="R16" s="184"/>
      <c r="S16" s="184"/>
      <c r="T16" s="184"/>
      <c r="U16" s="184"/>
      <c r="V16" s="184"/>
      <c r="W16" s="184"/>
      <c r="X16" s="184"/>
      <c r="Y16" s="184"/>
      <c r="Z16" s="184"/>
      <c r="AA16" s="184"/>
    </row>
    <row r="17" spans="1:27" ht="38.25">
      <c r="A17" s="180" t="s">
        <v>691</v>
      </c>
      <c r="B17" s="181"/>
      <c r="C17" s="182"/>
      <c r="D17" s="183"/>
      <c r="E17" s="183"/>
      <c r="F17" s="183"/>
      <c r="G17" s="176">
        <f t="shared" si="0"/>
        <v>0</v>
      </c>
      <c r="H17" s="201" t="s">
        <v>692</v>
      </c>
      <c r="I17" s="184"/>
      <c r="J17" s="184"/>
      <c r="K17" s="184"/>
      <c r="L17" s="184"/>
      <c r="M17" s="184"/>
      <c r="N17" s="184"/>
      <c r="O17" s="184"/>
      <c r="P17" s="184"/>
      <c r="Q17" s="184"/>
      <c r="R17" s="184"/>
      <c r="S17" s="184"/>
      <c r="T17" s="184"/>
      <c r="U17" s="184"/>
      <c r="V17" s="184"/>
      <c r="W17" s="184"/>
      <c r="X17" s="184"/>
      <c r="Y17" s="184"/>
      <c r="Z17" s="184"/>
      <c r="AA17" s="184"/>
    </row>
    <row r="18" spans="1:27" ht="25.5">
      <c r="A18" s="180" t="s">
        <v>693</v>
      </c>
      <c r="B18" s="181"/>
      <c r="C18" s="182"/>
      <c r="D18" s="183"/>
      <c r="E18" s="183"/>
      <c r="F18" s="183"/>
      <c r="G18" s="176">
        <f t="shared" si="0"/>
        <v>0</v>
      </c>
      <c r="H18" s="201" t="s">
        <v>694</v>
      </c>
      <c r="I18" s="184"/>
      <c r="J18" s="184"/>
      <c r="K18" s="184"/>
      <c r="L18" s="184"/>
      <c r="M18" s="184"/>
      <c r="N18" s="184"/>
      <c r="O18" s="184"/>
      <c r="P18" s="184"/>
      <c r="Q18" s="184"/>
      <c r="R18" s="184"/>
      <c r="S18" s="184"/>
      <c r="T18" s="184"/>
      <c r="U18" s="184"/>
      <c r="V18" s="184"/>
      <c r="W18" s="184"/>
      <c r="X18" s="184"/>
      <c r="Y18" s="184"/>
      <c r="Z18" s="184"/>
      <c r="AA18" s="184"/>
    </row>
    <row r="19" spans="1:27" ht="25.5">
      <c r="A19" s="180" t="s">
        <v>695</v>
      </c>
      <c r="B19" s="181"/>
      <c r="C19" s="182"/>
      <c r="D19" s="183"/>
      <c r="E19" s="183"/>
      <c r="F19" s="183"/>
      <c r="G19" s="176">
        <f t="shared" si="0"/>
        <v>0</v>
      </c>
      <c r="H19" s="201" t="s">
        <v>696</v>
      </c>
      <c r="I19" s="184"/>
      <c r="J19" s="184"/>
      <c r="K19" s="184"/>
      <c r="L19" s="184"/>
      <c r="M19" s="184"/>
      <c r="N19" s="184"/>
      <c r="O19" s="184"/>
      <c r="P19" s="184"/>
      <c r="Q19" s="184"/>
      <c r="R19" s="184"/>
      <c r="S19" s="184"/>
      <c r="T19" s="184"/>
      <c r="U19" s="184"/>
      <c r="V19" s="184"/>
      <c r="W19" s="184"/>
      <c r="X19" s="184"/>
      <c r="Y19" s="184"/>
      <c r="Z19" s="184"/>
      <c r="AA19" s="184"/>
    </row>
    <row r="20" spans="1:27" ht="25.5">
      <c r="A20" s="202" t="s">
        <v>697</v>
      </c>
      <c r="B20" s="181"/>
      <c r="C20" s="182"/>
      <c r="D20" s="183"/>
      <c r="E20" s="183"/>
      <c r="F20" s="183"/>
      <c r="G20" s="176">
        <f t="shared" si="0"/>
        <v>0</v>
      </c>
      <c r="H20" s="201" t="s">
        <v>698</v>
      </c>
      <c r="I20" s="184"/>
      <c r="J20" s="184"/>
      <c r="K20" s="184"/>
      <c r="L20" s="184"/>
      <c r="M20" s="184"/>
      <c r="N20" s="184"/>
      <c r="O20" s="184"/>
      <c r="P20" s="184"/>
      <c r="Q20" s="184"/>
      <c r="R20" s="184"/>
      <c r="S20" s="184"/>
      <c r="T20" s="184"/>
      <c r="U20" s="184"/>
      <c r="V20" s="184"/>
      <c r="W20" s="184"/>
      <c r="X20" s="184"/>
      <c r="Y20" s="184"/>
      <c r="Z20" s="184"/>
      <c r="AA20" s="184"/>
    </row>
    <row r="21" spans="1:27">
      <c r="A21" s="180" t="s">
        <v>699</v>
      </c>
      <c r="B21" s="181"/>
      <c r="C21" s="182"/>
      <c r="D21" s="183"/>
      <c r="E21" s="183"/>
      <c r="F21" s="183"/>
      <c r="G21" s="176">
        <f t="shared" si="0"/>
        <v>0</v>
      </c>
      <c r="H21" s="201"/>
      <c r="I21" s="184"/>
      <c r="J21" s="184"/>
      <c r="K21" s="184"/>
      <c r="L21" s="184"/>
      <c r="M21" s="184"/>
      <c r="N21" s="184"/>
      <c r="O21" s="184"/>
      <c r="P21" s="184"/>
      <c r="Q21" s="184"/>
      <c r="R21" s="184"/>
      <c r="S21" s="184"/>
      <c r="T21" s="184"/>
      <c r="U21" s="184"/>
      <c r="V21" s="184"/>
      <c r="W21" s="184"/>
      <c r="X21" s="184"/>
      <c r="Y21" s="184"/>
      <c r="Z21" s="184"/>
      <c r="AA21" s="184"/>
    </row>
    <row r="22" spans="1:27">
      <c r="A22" s="180" t="s">
        <v>700</v>
      </c>
      <c r="B22" s="181"/>
      <c r="C22" s="182"/>
      <c r="D22" s="183"/>
      <c r="E22" s="183"/>
      <c r="F22" s="183"/>
      <c r="G22" s="176">
        <f t="shared" si="0"/>
        <v>0</v>
      </c>
      <c r="H22" s="201"/>
      <c r="I22" s="184"/>
      <c r="J22" s="184"/>
      <c r="K22" s="184"/>
      <c r="L22" s="184"/>
      <c r="M22" s="184"/>
      <c r="N22" s="184"/>
      <c r="O22" s="184"/>
      <c r="P22" s="184"/>
      <c r="Q22" s="184"/>
      <c r="R22" s="184"/>
      <c r="S22" s="184"/>
      <c r="T22" s="184"/>
      <c r="U22" s="184"/>
      <c r="V22" s="184"/>
      <c r="W22" s="184"/>
      <c r="X22" s="184"/>
      <c r="Y22" s="184"/>
      <c r="Z22" s="184"/>
      <c r="AA22" s="184"/>
    </row>
    <row r="23" spans="1:27" ht="38.25">
      <c r="A23" s="180" t="s">
        <v>701</v>
      </c>
      <c r="B23" s="181"/>
      <c r="C23" s="182">
        <v>1000000</v>
      </c>
      <c r="D23" s="183"/>
      <c r="E23" s="183"/>
      <c r="F23" s="183"/>
      <c r="G23" s="176">
        <f t="shared" si="0"/>
        <v>1000000</v>
      </c>
      <c r="H23" s="201" t="s">
        <v>702</v>
      </c>
      <c r="I23" s="184"/>
      <c r="J23" s="184"/>
      <c r="K23" s="184"/>
      <c r="L23" s="184"/>
      <c r="M23" s="184"/>
      <c r="N23" s="184"/>
      <c r="O23" s="184"/>
      <c r="P23" s="184"/>
      <c r="Q23" s="184"/>
      <c r="R23" s="184"/>
      <c r="S23" s="184"/>
      <c r="T23" s="184"/>
      <c r="U23" s="184"/>
      <c r="V23" s="184"/>
      <c r="W23" s="184"/>
      <c r="X23" s="184"/>
      <c r="Y23" s="184"/>
      <c r="Z23" s="184"/>
      <c r="AA23" s="184"/>
    </row>
    <row r="24" spans="1:27" ht="25.5">
      <c r="A24" s="180" t="s">
        <v>703</v>
      </c>
      <c r="B24" s="181"/>
      <c r="C24" s="182">
        <v>400000</v>
      </c>
      <c r="D24" s="183"/>
      <c r="E24" s="183"/>
      <c r="F24" s="183"/>
      <c r="G24" s="176">
        <f t="shared" si="0"/>
        <v>400000</v>
      </c>
      <c r="H24" s="201" t="s">
        <v>704</v>
      </c>
      <c r="I24" s="184"/>
      <c r="J24" s="184"/>
      <c r="K24" s="184"/>
      <c r="L24" s="184"/>
      <c r="M24" s="184"/>
      <c r="N24" s="184"/>
      <c r="O24" s="184"/>
      <c r="P24" s="184"/>
      <c r="Q24" s="184"/>
      <c r="R24" s="184"/>
      <c r="S24" s="184"/>
      <c r="T24" s="184"/>
      <c r="U24" s="184"/>
      <c r="V24" s="184"/>
      <c r="W24" s="184"/>
      <c r="X24" s="184"/>
      <c r="Y24" s="184"/>
      <c r="Z24" s="184"/>
      <c r="AA24" s="184"/>
    </row>
    <row r="25" spans="1:27">
      <c r="A25" s="203"/>
      <c r="B25" s="181"/>
      <c r="C25" s="183"/>
      <c r="D25" s="183"/>
      <c r="E25" s="183"/>
      <c r="F25" s="183"/>
      <c r="G25" s="176">
        <f t="shared" si="0"/>
        <v>0</v>
      </c>
      <c r="H25" s="194"/>
      <c r="I25" s="184"/>
      <c r="J25" s="184"/>
      <c r="K25" s="184"/>
      <c r="L25" s="184"/>
      <c r="M25" s="184"/>
      <c r="N25" s="184"/>
      <c r="O25" s="184"/>
      <c r="P25" s="184"/>
      <c r="Q25" s="184"/>
      <c r="R25" s="184"/>
      <c r="S25" s="184"/>
      <c r="T25" s="184"/>
      <c r="U25" s="184"/>
      <c r="V25" s="184"/>
      <c r="W25" s="184"/>
      <c r="X25" s="184"/>
      <c r="Y25" s="184"/>
      <c r="Z25" s="184"/>
      <c r="AA25" s="184"/>
    </row>
    <row r="26" spans="1:27">
      <c r="A26" s="204" t="s">
        <v>705</v>
      </c>
      <c r="B26" s="205">
        <f>SUM(B9:B25)</f>
        <v>4668530</v>
      </c>
      <c r="C26" s="206"/>
      <c r="D26" s="206"/>
      <c r="E26" s="206"/>
      <c r="F26" s="206"/>
      <c r="G26" s="207">
        <f>SUM(G9:G25)</f>
        <v>29019500</v>
      </c>
      <c r="H26" s="208"/>
      <c r="I26" s="184"/>
      <c r="J26" s="184"/>
      <c r="K26" s="184"/>
      <c r="L26" s="184"/>
      <c r="M26" s="184"/>
      <c r="N26" s="184"/>
      <c r="O26" s="184"/>
      <c r="P26" s="184"/>
      <c r="Q26" s="184"/>
      <c r="R26" s="184"/>
      <c r="S26" s="184"/>
      <c r="T26" s="184"/>
      <c r="U26" s="184"/>
      <c r="V26" s="184"/>
      <c r="W26" s="184"/>
      <c r="X26" s="184"/>
      <c r="Y26" s="184"/>
      <c r="Z26" s="184"/>
      <c r="AA26" s="184"/>
    </row>
    <row r="27" spans="1:27">
      <c r="A27" s="886" t="s">
        <v>706</v>
      </c>
      <c r="B27" s="887"/>
      <c r="C27" s="887"/>
      <c r="D27" s="887"/>
      <c r="E27" s="887"/>
      <c r="F27" s="887"/>
      <c r="G27" s="887"/>
      <c r="H27" s="888"/>
      <c r="I27" s="190"/>
      <c r="J27" s="190"/>
      <c r="K27" s="190"/>
      <c r="L27" s="190"/>
      <c r="M27" s="190"/>
      <c r="N27" s="190"/>
      <c r="O27" s="190"/>
      <c r="P27" s="190"/>
      <c r="Q27" s="190"/>
      <c r="R27" s="190"/>
      <c r="S27" s="190"/>
      <c r="T27" s="190"/>
      <c r="U27" s="190"/>
      <c r="V27" s="190"/>
      <c r="W27" s="190"/>
      <c r="X27" s="190"/>
      <c r="Y27" s="190"/>
      <c r="Z27" s="190"/>
      <c r="AA27" s="190"/>
    </row>
    <row r="28" spans="1:27" ht="76.5">
      <c r="A28" s="209" t="s">
        <v>707</v>
      </c>
      <c r="B28" s="175"/>
      <c r="C28" s="210">
        <f>(10*150000+6000*900+300*900)*70%</f>
        <v>5019000</v>
      </c>
      <c r="D28" s="176"/>
      <c r="E28" s="176"/>
      <c r="F28" s="176"/>
      <c r="G28" s="176">
        <f t="shared" ref="G28:G29" si="7">SUM(C28:F28)</f>
        <v>5019000</v>
      </c>
      <c r="H28" s="211" t="s">
        <v>708</v>
      </c>
      <c r="I28" s="212"/>
      <c r="J28" s="184"/>
      <c r="K28" s="184"/>
      <c r="L28" s="184"/>
      <c r="M28" s="184"/>
      <c r="N28" s="184"/>
      <c r="O28" s="184"/>
      <c r="P28" s="184"/>
      <c r="Q28" s="184"/>
      <c r="R28" s="184"/>
      <c r="S28" s="184"/>
      <c r="T28" s="184"/>
      <c r="U28" s="184"/>
      <c r="V28" s="184"/>
      <c r="W28" s="184"/>
      <c r="X28" s="184"/>
      <c r="Y28" s="184"/>
      <c r="Z28" s="184"/>
      <c r="AA28" s="184"/>
    </row>
    <row r="29" spans="1:27">
      <c r="A29" s="211" t="s">
        <v>709</v>
      </c>
      <c r="B29" s="175">
        <f>(771588*20%)</f>
        <v>154317.6</v>
      </c>
      <c r="C29" s="175">
        <f>(771588*70%)</f>
        <v>540111.6</v>
      </c>
      <c r="D29" s="175">
        <f t="shared" ref="D29:F29" si="8">64000*3</f>
        <v>192000</v>
      </c>
      <c r="E29" s="175">
        <f t="shared" si="8"/>
        <v>192000</v>
      </c>
      <c r="F29" s="175">
        <f t="shared" si="8"/>
        <v>192000</v>
      </c>
      <c r="G29" s="176">
        <f t="shared" si="7"/>
        <v>1116111.6000000001</v>
      </c>
      <c r="H29" s="211" t="s">
        <v>710</v>
      </c>
      <c r="I29" s="212"/>
      <c r="J29" s="184"/>
      <c r="K29" s="184"/>
      <c r="L29" s="184"/>
      <c r="M29" s="184"/>
      <c r="N29" s="184"/>
      <c r="O29" s="184"/>
      <c r="P29" s="184"/>
      <c r="Q29" s="184"/>
      <c r="R29" s="184"/>
      <c r="S29" s="184"/>
      <c r="T29" s="184"/>
      <c r="U29" s="184"/>
      <c r="V29" s="184"/>
      <c r="W29" s="184"/>
      <c r="X29" s="184"/>
      <c r="Y29" s="184"/>
      <c r="Z29" s="184"/>
      <c r="AA29" s="184"/>
    </row>
    <row r="30" spans="1:27">
      <c r="A30" s="211"/>
      <c r="B30" s="175"/>
      <c r="C30" s="175"/>
      <c r="D30" s="175"/>
      <c r="E30" s="175"/>
      <c r="F30" s="175"/>
      <c r="G30" s="175"/>
      <c r="H30" s="194"/>
      <c r="I30" s="184"/>
      <c r="J30" s="184"/>
      <c r="K30" s="184"/>
      <c r="L30" s="184"/>
      <c r="M30" s="184"/>
      <c r="N30" s="184"/>
      <c r="O30" s="184"/>
      <c r="P30" s="184"/>
      <c r="Q30" s="184"/>
      <c r="R30" s="184"/>
      <c r="S30" s="184"/>
      <c r="T30" s="184"/>
      <c r="U30" s="184"/>
      <c r="V30" s="184"/>
      <c r="W30" s="184"/>
      <c r="X30" s="184"/>
      <c r="Y30" s="184"/>
      <c r="Z30" s="184"/>
      <c r="AA30" s="184"/>
    </row>
    <row r="31" spans="1:27">
      <c r="A31" s="213" t="s">
        <v>711</v>
      </c>
      <c r="B31" s="214">
        <f>SUM(B28:B30)</f>
        <v>154317.6</v>
      </c>
      <c r="C31" s="215"/>
      <c r="D31" s="215"/>
      <c r="E31" s="215"/>
      <c r="F31" s="215"/>
      <c r="G31" s="214">
        <f>SUM(G28:G30)</f>
        <v>6135111.5999999996</v>
      </c>
      <c r="H31" s="216"/>
      <c r="I31" s="184"/>
      <c r="J31" s="184"/>
      <c r="K31" s="184"/>
      <c r="L31" s="184"/>
      <c r="M31" s="184"/>
      <c r="N31" s="184"/>
      <c r="O31" s="184"/>
      <c r="P31" s="184"/>
      <c r="Q31" s="184"/>
      <c r="R31" s="184"/>
      <c r="S31" s="184"/>
      <c r="T31" s="184"/>
      <c r="U31" s="184"/>
      <c r="V31" s="184"/>
      <c r="W31" s="184"/>
      <c r="X31" s="184"/>
      <c r="Y31" s="184"/>
      <c r="Z31" s="184"/>
      <c r="AA31" s="184"/>
    </row>
    <row r="32" spans="1:27">
      <c r="A32" s="203"/>
      <c r="B32" s="217"/>
      <c r="C32" s="218"/>
      <c r="D32" s="218"/>
      <c r="E32" s="218"/>
      <c r="F32" s="218"/>
      <c r="G32" s="218"/>
      <c r="H32" s="219"/>
      <c r="I32" s="184"/>
      <c r="J32" s="184"/>
      <c r="K32" s="184"/>
      <c r="L32" s="184"/>
      <c r="M32" s="184"/>
      <c r="N32" s="184"/>
      <c r="O32" s="184"/>
      <c r="P32" s="184"/>
      <c r="Q32" s="184"/>
      <c r="R32" s="184"/>
      <c r="S32" s="184"/>
      <c r="T32" s="184"/>
      <c r="U32" s="184"/>
      <c r="V32" s="184"/>
      <c r="W32" s="184"/>
      <c r="X32" s="184"/>
      <c r="Y32" s="184"/>
      <c r="Z32" s="184"/>
      <c r="AA32" s="184"/>
    </row>
    <row r="33" spans="1:27">
      <c r="A33" s="220" t="s">
        <v>712</v>
      </c>
      <c r="B33" s="221">
        <f>SUM(B26+B31)</f>
        <v>4822847.5999999996</v>
      </c>
      <c r="C33" s="222"/>
      <c r="D33" s="222"/>
      <c r="E33" s="222"/>
      <c r="F33" s="222"/>
      <c r="G33" s="221">
        <f>SUM(G26+G31)</f>
        <v>35154611.600000001</v>
      </c>
      <c r="H33" s="223"/>
      <c r="I33" s="190"/>
      <c r="J33" s="190"/>
      <c r="K33" s="190"/>
      <c r="L33" s="190"/>
      <c r="M33" s="190"/>
      <c r="N33" s="190"/>
      <c r="O33" s="190"/>
      <c r="P33" s="190"/>
      <c r="Q33" s="190"/>
      <c r="R33" s="190"/>
      <c r="S33" s="190"/>
      <c r="T33" s="190"/>
      <c r="U33" s="190"/>
      <c r="V33" s="190"/>
      <c r="W33" s="190"/>
      <c r="X33" s="190"/>
      <c r="Y33" s="190"/>
      <c r="Z33" s="190"/>
      <c r="AA33" s="190"/>
    </row>
    <row r="34" spans="1:27">
      <c r="A34" s="184"/>
      <c r="B34" s="184"/>
      <c r="C34" s="184"/>
      <c r="D34" s="184"/>
      <c r="E34" s="184"/>
      <c r="F34" s="184"/>
      <c r="G34" s="184"/>
      <c r="H34" s="184"/>
      <c r="I34" s="184"/>
      <c r="J34" s="184"/>
      <c r="K34" s="184"/>
      <c r="L34" s="184"/>
      <c r="M34" s="184"/>
      <c r="N34" s="184"/>
      <c r="O34" s="184"/>
      <c r="P34" s="184"/>
      <c r="Q34" s="184"/>
      <c r="R34" s="184"/>
      <c r="S34" s="184"/>
      <c r="T34" s="184"/>
      <c r="U34" s="184"/>
      <c r="V34" s="184"/>
      <c r="W34" s="184"/>
      <c r="X34" s="184"/>
      <c r="Y34" s="184"/>
      <c r="Z34" s="184"/>
      <c r="AA34" s="184"/>
    </row>
    <row r="35" spans="1:27">
      <c r="A35" s="184"/>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c r="AA35" s="184"/>
    </row>
    <row r="36" spans="1:27">
      <c r="A36" s="184"/>
      <c r="B36" s="184"/>
      <c r="C36" s="184"/>
      <c r="D36" s="184"/>
      <c r="E36" s="184"/>
      <c r="F36" s="184"/>
      <c r="G36" s="184"/>
      <c r="H36" s="184"/>
      <c r="I36" s="184"/>
      <c r="J36" s="184"/>
      <c r="K36" s="184"/>
      <c r="L36" s="184"/>
      <c r="M36" s="184"/>
      <c r="N36" s="184"/>
      <c r="O36" s="184"/>
      <c r="P36" s="184"/>
      <c r="Q36" s="184"/>
      <c r="R36" s="184"/>
      <c r="S36" s="184"/>
      <c r="T36" s="184"/>
      <c r="U36" s="184"/>
      <c r="V36" s="184"/>
      <c r="W36" s="184"/>
      <c r="X36" s="184"/>
      <c r="Y36" s="184"/>
      <c r="Z36" s="184"/>
      <c r="AA36" s="184"/>
    </row>
    <row r="37" spans="1:27">
      <c r="A37" s="184"/>
      <c r="B37" s="184"/>
      <c r="C37" s="184"/>
      <c r="D37" s="184"/>
      <c r="E37" s="184"/>
      <c r="F37" s="184"/>
      <c r="G37" s="184"/>
      <c r="H37" s="224" t="s">
        <v>713</v>
      </c>
      <c r="I37" s="184"/>
      <c r="J37" s="184"/>
      <c r="K37" s="184"/>
      <c r="L37" s="184"/>
      <c r="M37" s="184"/>
      <c r="N37" s="184"/>
      <c r="O37" s="184"/>
      <c r="P37" s="184"/>
      <c r="Q37" s="184"/>
      <c r="R37" s="184"/>
      <c r="S37" s="184"/>
      <c r="T37" s="184"/>
      <c r="U37" s="184"/>
      <c r="V37" s="184"/>
      <c r="W37" s="184"/>
      <c r="X37" s="184"/>
      <c r="Y37" s="184"/>
      <c r="Z37" s="184"/>
      <c r="AA37" s="184"/>
    </row>
    <row r="38" spans="1:27">
      <c r="A38" s="184"/>
      <c r="B38" s="184"/>
      <c r="C38" s="184"/>
      <c r="D38" s="184"/>
      <c r="E38" s="184"/>
      <c r="F38" s="184"/>
      <c r="G38" s="184"/>
      <c r="H38" s="184"/>
      <c r="I38" s="184"/>
      <c r="J38" s="184"/>
      <c r="K38" s="184"/>
      <c r="L38" s="184"/>
      <c r="M38" s="184"/>
      <c r="N38" s="184"/>
      <c r="O38" s="184"/>
      <c r="P38" s="184"/>
      <c r="Q38" s="184"/>
      <c r="R38" s="184"/>
      <c r="S38" s="184"/>
      <c r="T38" s="184"/>
      <c r="U38" s="184"/>
      <c r="V38" s="184"/>
      <c r="W38" s="184"/>
      <c r="X38" s="184"/>
      <c r="Y38" s="184"/>
      <c r="Z38" s="184"/>
      <c r="AA38" s="184"/>
    </row>
    <row r="39" spans="1:27">
      <c r="A39" s="225" t="s">
        <v>714</v>
      </c>
      <c r="B39" s="184"/>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4"/>
      <c r="AA39" s="184"/>
    </row>
    <row r="40" spans="1:27">
      <c r="A40" s="184"/>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4"/>
    </row>
    <row r="41" spans="1:27">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row>
    <row r="42" spans="1:27">
      <c r="A42" s="184"/>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c r="AA42" s="184"/>
    </row>
    <row r="43" spans="1:27">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row>
    <row r="44" spans="1:27">
      <c r="A44" s="184"/>
      <c r="B44" s="184"/>
      <c r="C44" s="184"/>
      <c r="D44" s="184"/>
      <c r="E44" s="184"/>
      <c r="F44" s="184"/>
      <c r="G44" s="184"/>
      <c r="H44" s="184"/>
      <c r="I44" s="184"/>
      <c r="J44" s="184"/>
      <c r="K44" s="184"/>
      <c r="L44" s="184"/>
      <c r="M44" s="184"/>
      <c r="N44" s="184"/>
      <c r="O44" s="184"/>
      <c r="P44" s="184"/>
      <c r="Q44" s="184"/>
      <c r="R44" s="184"/>
      <c r="S44" s="184"/>
      <c r="T44" s="184"/>
      <c r="U44" s="184"/>
      <c r="V44" s="184"/>
      <c r="W44" s="184"/>
      <c r="X44" s="184"/>
      <c r="Y44" s="184"/>
      <c r="Z44" s="184"/>
      <c r="AA44" s="184"/>
    </row>
    <row r="45" spans="1:27">
      <c r="A45" s="184"/>
      <c r="B45" s="184"/>
      <c r="C45" s="184"/>
      <c r="D45" s="184"/>
      <c r="E45" s="184"/>
      <c r="F45" s="184"/>
      <c r="G45" s="184"/>
      <c r="H45" s="184"/>
      <c r="I45" s="184"/>
      <c r="J45" s="184"/>
      <c r="K45" s="184"/>
      <c r="L45" s="184"/>
      <c r="M45" s="184"/>
      <c r="N45" s="184"/>
      <c r="O45" s="184"/>
      <c r="P45" s="184"/>
      <c r="Q45" s="184"/>
      <c r="R45" s="184"/>
      <c r="S45" s="184"/>
      <c r="T45" s="184"/>
      <c r="U45" s="184"/>
      <c r="V45" s="184"/>
      <c r="W45" s="184"/>
      <c r="X45" s="184"/>
      <c r="Y45" s="184"/>
      <c r="Z45" s="184"/>
      <c r="AA45" s="184"/>
    </row>
    <row r="46" spans="1:27">
      <c r="A46" s="184"/>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c r="AA46" s="184"/>
    </row>
    <row r="47" spans="1:27">
      <c r="A47" s="184"/>
      <c r="B47" s="184"/>
      <c r="C47" s="184"/>
      <c r="D47" s="184"/>
      <c r="E47" s="184"/>
      <c r="F47" s="184"/>
      <c r="G47" s="184"/>
      <c r="H47" s="184"/>
      <c r="I47" s="184"/>
      <c r="J47" s="184"/>
      <c r="K47" s="184"/>
      <c r="L47" s="184"/>
      <c r="M47" s="184"/>
      <c r="N47" s="184"/>
      <c r="O47" s="184"/>
      <c r="P47" s="184"/>
      <c r="Q47" s="184"/>
      <c r="R47" s="184"/>
      <c r="S47" s="184"/>
      <c r="T47" s="184"/>
      <c r="U47" s="184"/>
      <c r="V47" s="184"/>
      <c r="W47" s="184"/>
      <c r="X47" s="184"/>
      <c r="Y47" s="184"/>
      <c r="Z47" s="184"/>
      <c r="AA47" s="184"/>
    </row>
    <row r="48" spans="1:27">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row>
    <row r="49" spans="1:27">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row>
    <row r="50" spans="1:27">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row>
    <row r="51" spans="1:27">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row>
    <row r="52" spans="1:27">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row>
    <row r="53" spans="1:27">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row>
    <row r="54" spans="1:27">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c r="AA54" s="184"/>
    </row>
    <row r="55" spans="1:27">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c r="AA55" s="184"/>
    </row>
    <row r="56" spans="1:27">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c r="AA56" s="184"/>
    </row>
    <row r="57" spans="1:27">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row>
    <row r="58" spans="1:27">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c r="Z58" s="184"/>
      <c r="AA58" s="184"/>
    </row>
    <row r="59" spans="1:27">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c r="AA59" s="184"/>
    </row>
    <row r="60" spans="1:27">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c r="AA60" s="184"/>
    </row>
    <row r="61" spans="1:27">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c r="AA61" s="184"/>
    </row>
    <row r="62" spans="1:27">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c r="AA62" s="184"/>
    </row>
    <row r="63" spans="1:27">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c r="AA63" s="184"/>
    </row>
    <row r="64" spans="1:27">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c r="AA64" s="184"/>
    </row>
    <row r="65" spans="1:27">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row>
    <row r="66" spans="1:27">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c r="AA66" s="184"/>
    </row>
    <row r="67" spans="1:27">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c r="AA67" s="184"/>
    </row>
    <row r="68" spans="1:27">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c r="AA68" s="184"/>
    </row>
    <row r="69" spans="1:27">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row>
    <row r="70" spans="1:27">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row>
    <row r="71" spans="1:27">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row>
    <row r="72" spans="1:27">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row>
    <row r="73" spans="1:27">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row>
    <row r="74" spans="1:27">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row>
    <row r="75" spans="1:27">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row>
    <row r="76" spans="1:27">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row>
    <row r="77" spans="1:27">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row>
    <row r="78" spans="1:27">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c r="AA78" s="184"/>
    </row>
    <row r="79" spans="1:27">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c r="AA79" s="184"/>
    </row>
    <row r="80" spans="1:27">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c r="AA80" s="184"/>
    </row>
    <row r="81" spans="1:27">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row>
    <row r="82" spans="1:27">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c r="AA82" s="184"/>
    </row>
    <row r="83" spans="1:27">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c r="AA83" s="184"/>
    </row>
    <row r="84" spans="1:27">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c r="AA84" s="184"/>
    </row>
    <row r="85" spans="1:27">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c r="AA85" s="184"/>
    </row>
    <row r="86" spans="1:27">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c r="AA86" s="184"/>
    </row>
    <row r="87" spans="1:27">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c r="AA87" s="184"/>
    </row>
    <row r="88" spans="1:27">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c r="AA88" s="184"/>
    </row>
    <row r="89" spans="1:27">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c r="AA89" s="184"/>
    </row>
    <row r="90" spans="1:27">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c r="AA90" s="184"/>
    </row>
    <row r="91" spans="1:27">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c r="AA91" s="184"/>
    </row>
    <row r="92" spans="1:27">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c r="AA92" s="184"/>
    </row>
    <row r="93" spans="1:27">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c r="AA93" s="184"/>
    </row>
    <row r="94" spans="1:27">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c r="AA94" s="184"/>
    </row>
    <row r="95" spans="1:27">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c r="AA95" s="184"/>
    </row>
    <row r="96" spans="1:27">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c r="AA96" s="184"/>
    </row>
    <row r="97" spans="1:27">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c r="AA97" s="184"/>
    </row>
    <row r="98" spans="1:27">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c r="AA98" s="184"/>
    </row>
    <row r="99" spans="1:27">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c r="AA99" s="184"/>
    </row>
    <row r="100" spans="1:27">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c r="AA100" s="184"/>
    </row>
    <row r="101" spans="1:27">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c r="AA101" s="184"/>
    </row>
    <row r="102" spans="1:27">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c r="AA102" s="184"/>
    </row>
    <row r="103" spans="1:27">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c r="AA103" s="184"/>
    </row>
    <row r="104" spans="1:27">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c r="AA104" s="184"/>
    </row>
    <row r="105" spans="1:27">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c r="AA105" s="184"/>
    </row>
    <row r="106" spans="1:27">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c r="AA106" s="184"/>
    </row>
    <row r="107" spans="1:27">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c r="AA107" s="184"/>
    </row>
    <row r="108" spans="1:27">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c r="AA108" s="184"/>
    </row>
    <row r="109" spans="1:27">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row>
    <row r="110" spans="1:27">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c r="AA110" s="184"/>
    </row>
    <row r="111" spans="1:27">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c r="AA111" s="184"/>
    </row>
    <row r="112" spans="1:27">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c r="AA112" s="184"/>
    </row>
    <row r="113" spans="1:27">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c r="AA113" s="184"/>
    </row>
    <row r="114" spans="1:27">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c r="AA114" s="184"/>
    </row>
    <row r="115" spans="1:27">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c r="AA115" s="184"/>
    </row>
    <row r="116" spans="1:27">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c r="AA116" s="184"/>
    </row>
    <row r="117" spans="1:27">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c r="AA117" s="184"/>
    </row>
    <row r="118" spans="1:27">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c r="AA118" s="184"/>
    </row>
    <row r="119" spans="1:27">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c r="AA119" s="184"/>
    </row>
    <row r="120" spans="1:27">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c r="AA120" s="184"/>
    </row>
    <row r="121" spans="1:27">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c r="AA121" s="184"/>
    </row>
    <row r="122" spans="1:27">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c r="AA122" s="184"/>
    </row>
    <row r="123" spans="1:27">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c r="AA123" s="184"/>
    </row>
    <row r="124" spans="1:27">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row>
    <row r="125" spans="1:27">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c r="AA125" s="184"/>
    </row>
    <row r="126" spans="1:27">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c r="AA126" s="184"/>
    </row>
    <row r="127" spans="1:27">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c r="AA127" s="184"/>
    </row>
    <row r="128" spans="1:27">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c r="AA128" s="184"/>
    </row>
    <row r="129" spans="1:27">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c r="AA129" s="184"/>
    </row>
    <row r="130" spans="1:27">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row>
    <row r="131" spans="1:27">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c r="AA131" s="184"/>
    </row>
    <row r="132" spans="1:27">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c r="AA132" s="184"/>
    </row>
    <row r="133" spans="1:27">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c r="AA133" s="184"/>
    </row>
    <row r="134" spans="1:27">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c r="AA134" s="184"/>
    </row>
    <row r="135" spans="1:27">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c r="AA135" s="184"/>
    </row>
    <row r="136" spans="1:27">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c r="AA136" s="184"/>
    </row>
    <row r="137" spans="1:27">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c r="AA137" s="184"/>
    </row>
    <row r="138" spans="1:27">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c r="AA138" s="184"/>
    </row>
    <row r="139" spans="1:27">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c r="AA139" s="184"/>
    </row>
    <row r="140" spans="1:27">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c r="AA140" s="184"/>
    </row>
    <row r="141" spans="1:27">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c r="AA141" s="184"/>
    </row>
    <row r="142" spans="1:27">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c r="AA142" s="184"/>
    </row>
    <row r="143" spans="1:27">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c r="AA143" s="184"/>
    </row>
    <row r="144" spans="1:27">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c r="AA144" s="184"/>
    </row>
    <row r="145" spans="1:27">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c r="AA145" s="184"/>
    </row>
    <row r="146" spans="1:27">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c r="AA146" s="184"/>
    </row>
    <row r="147" spans="1:27">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c r="AA147" s="184"/>
    </row>
    <row r="148" spans="1:27">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c r="AA148" s="184"/>
    </row>
    <row r="149" spans="1:27">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c r="AA149" s="184"/>
    </row>
    <row r="150" spans="1:27">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c r="AA150" s="184"/>
    </row>
    <row r="151" spans="1:27">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c r="AA151" s="184"/>
    </row>
    <row r="152" spans="1:27">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c r="AA152" s="184"/>
    </row>
    <row r="153" spans="1:27">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c r="AA153" s="184"/>
    </row>
    <row r="154" spans="1:27">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c r="AA154" s="184"/>
    </row>
    <row r="155" spans="1:27">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c r="AA155" s="184"/>
    </row>
    <row r="156" spans="1:27">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c r="AA156" s="184"/>
    </row>
    <row r="157" spans="1:27">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c r="AA157" s="184"/>
    </row>
    <row r="158" spans="1:27">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c r="AA158" s="184"/>
    </row>
    <row r="159" spans="1:27">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c r="AA159" s="184"/>
    </row>
    <row r="160" spans="1:27">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c r="AA160" s="184"/>
    </row>
    <row r="161" spans="1:27">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c r="AA161" s="184"/>
    </row>
    <row r="162" spans="1:27">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c r="AA162" s="184"/>
    </row>
    <row r="163" spans="1:27">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c r="AA163" s="184"/>
    </row>
    <row r="164" spans="1:27">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c r="AA164" s="184"/>
    </row>
    <row r="165" spans="1:27">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c r="AA165" s="184"/>
    </row>
    <row r="166" spans="1:27">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c r="AA166" s="184"/>
    </row>
    <row r="167" spans="1:27">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c r="AA167" s="184"/>
    </row>
    <row r="168" spans="1:27">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c r="AA168" s="184"/>
    </row>
    <row r="169" spans="1:27">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c r="AA169" s="184"/>
    </row>
    <row r="170" spans="1:27">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c r="AA170" s="184"/>
    </row>
    <row r="171" spans="1:27">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c r="AA171" s="184"/>
    </row>
    <row r="172" spans="1:27">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c r="AA172" s="184"/>
    </row>
    <row r="173" spans="1:27">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c r="AA173" s="184"/>
    </row>
    <row r="174" spans="1:27">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c r="AA174" s="184"/>
    </row>
    <row r="175" spans="1:27">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c r="AA175" s="184"/>
    </row>
    <row r="176" spans="1:27">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c r="AA176" s="184"/>
    </row>
    <row r="177" spans="1:27">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c r="AA177" s="184"/>
    </row>
    <row r="178" spans="1:27">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c r="AA178" s="184"/>
    </row>
    <row r="179" spans="1:27">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c r="AA179" s="184"/>
    </row>
    <row r="180" spans="1:27">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c r="AA180" s="184"/>
    </row>
    <row r="181" spans="1:27">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c r="AA181" s="184"/>
    </row>
    <row r="182" spans="1:27">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c r="AA182" s="184"/>
    </row>
    <row r="183" spans="1:27">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c r="AA183" s="184"/>
    </row>
    <row r="184" spans="1:27">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c r="AA184" s="184"/>
    </row>
    <row r="185" spans="1:27">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c r="AA185" s="184"/>
    </row>
    <row r="186" spans="1:27">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c r="AA186" s="184"/>
    </row>
    <row r="187" spans="1:27">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c r="AA187" s="184"/>
    </row>
    <row r="188" spans="1:27">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c r="AA188" s="184"/>
    </row>
    <row r="189" spans="1:27">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c r="AA189" s="184"/>
    </row>
    <row r="190" spans="1:27">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c r="AA190" s="184"/>
    </row>
    <row r="191" spans="1:27">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c r="AA191" s="184"/>
    </row>
    <row r="192" spans="1:27">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c r="AA192" s="184"/>
    </row>
    <row r="193" spans="1:27">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c r="AA193" s="184"/>
    </row>
    <row r="194" spans="1:27">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c r="AA194" s="184"/>
    </row>
    <row r="195" spans="1:27">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c r="AA195" s="184"/>
    </row>
    <row r="196" spans="1:27">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c r="AA196" s="184"/>
    </row>
    <row r="197" spans="1:27">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c r="AA197" s="184"/>
    </row>
    <row r="198" spans="1:27">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c r="AA198" s="184"/>
    </row>
    <row r="199" spans="1:27">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c r="AA199" s="184"/>
    </row>
    <row r="200" spans="1:27">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c r="AA200" s="184"/>
    </row>
    <row r="201" spans="1:27">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c r="AA201" s="184"/>
    </row>
    <row r="202" spans="1:27">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c r="AA202" s="184"/>
    </row>
    <row r="203" spans="1:27">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c r="AA203" s="184"/>
    </row>
    <row r="204" spans="1:27">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c r="AA204" s="184"/>
    </row>
    <row r="205" spans="1:27">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c r="AA205" s="184"/>
    </row>
    <row r="206" spans="1:27">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c r="AA206" s="184"/>
    </row>
    <row r="207" spans="1:27">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c r="AA207" s="184"/>
    </row>
    <row r="208" spans="1:27">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c r="AA208" s="184"/>
    </row>
    <row r="209" spans="1:27">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c r="AA209" s="184"/>
    </row>
    <row r="210" spans="1:27">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c r="AA210" s="184"/>
    </row>
    <row r="211" spans="1:27">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c r="AA211" s="184"/>
    </row>
    <row r="212" spans="1:27">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c r="AA212" s="184"/>
    </row>
    <row r="213" spans="1:27">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c r="AA213" s="184"/>
    </row>
    <row r="214" spans="1:27">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c r="AA214" s="184"/>
    </row>
    <row r="215" spans="1:27">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c r="AA215" s="184"/>
    </row>
    <row r="216" spans="1:27">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c r="AA216" s="184"/>
    </row>
    <row r="217" spans="1:27">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c r="AA217" s="184"/>
    </row>
    <row r="218" spans="1:27">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c r="AA218" s="184"/>
    </row>
    <row r="219" spans="1:27">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c r="AA219" s="184"/>
    </row>
    <row r="220" spans="1:27">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c r="AA220" s="184"/>
    </row>
    <row r="221" spans="1:27">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c r="AA221" s="184"/>
    </row>
    <row r="222" spans="1:27">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c r="AA222" s="184"/>
    </row>
    <row r="223" spans="1:27">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c r="AA223" s="184"/>
    </row>
    <row r="224" spans="1:27">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c r="AA224" s="184"/>
    </row>
    <row r="225" spans="1:27">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c r="AA225" s="184"/>
    </row>
    <row r="226" spans="1:27">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c r="AA226" s="184"/>
    </row>
    <row r="227" spans="1:27">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c r="AA227" s="184"/>
    </row>
    <row r="228" spans="1:27">
      <c r="A228" s="226"/>
    </row>
    <row r="229" spans="1:27">
      <c r="A229" s="226"/>
    </row>
    <row r="230" spans="1:27">
      <c r="A230" s="226"/>
    </row>
    <row r="231" spans="1:27">
      <c r="A231" s="226"/>
    </row>
    <row r="232" spans="1:27">
      <c r="A232" s="226"/>
    </row>
    <row r="233" spans="1:27">
      <c r="A233" s="226"/>
    </row>
    <row r="234" spans="1:27">
      <c r="A234" s="226"/>
    </row>
    <row r="235" spans="1:27">
      <c r="A235" s="226"/>
    </row>
    <row r="236" spans="1:27">
      <c r="A236" s="226"/>
    </row>
    <row r="237" spans="1:27">
      <c r="A237" s="226"/>
    </row>
    <row r="238" spans="1:27">
      <c r="A238" s="226"/>
    </row>
    <row r="239" spans="1:27">
      <c r="A239" s="226"/>
    </row>
    <row r="240" spans="1:27">
      <c r="A240" s="226"/>
    </row>
    <row r="241" spans="1:1">
      <c r="A241" s="226"/>
    </row>
    <row r="242" spans="1:1">
      <c r="A242" s="226"/>
    </row>
    <row r="243" spans="1:1">
      <c r="A243" s="226"/>
    </row>
    <row r="244" spans="1:1">
      <c r="A244" s="226"/>
    </row>
    <row r="245" spans="1:1">
      <c r="A245" s="226"/>
    </row>
    <row r="246" spans="1:1">
      <c r="A246" s="226"/>
    </row>
    <row r="247" spans="1:1">
      <c r="A247" s="226"/>
    </row>
    <row r="248" spans="1:1">
      <c r="A248" s="226"/>
    </row>
    <row r="249" spans="1:1">
      <c r="A249" s="226"/>
    </row>
    <row r="250" spans="1:1">
      <c r="A250" s="226"/>
    </row>
    <row r="251" spans="1:1">
      <c r="A251" s="226"/>
    </row>
    <row r="252" spans="1:1">
      <c r="A252" s="226"/>
    </row>
    <row r="253" spans="1:1">
      <c r="A253" s="226"/>
    </row>
    <row r="254" spans="1:1">
      <c r="A254" s="226"/>
    </row>
    <row r="255" spans="1:1">
      <c r="A255" s="226"/>
    </row>
    <row r="256" spans="1:1">
      <c r="A256" s="226"/>
    </row>
    <row r="257" spans="1:1">
      <c r="A257" s="226"/>
    </row>
    <row r="258" spans="1:1">
      <c r="A258" s="226"/>
    </row>
    <row r="259" spans="1:1">
      <c r="A259" s="226"/>
    </row>
    <row r="260" spans="1:1">
      <c r="A260" s="226"/>
    </row>
    <row r="261" spans="1:1">
      <c r="A261" s="226"/>
    </row>
    <row r="262" spans="1:1">
      <c r="A262" s="226"/>
    </row>
    <row r="263" spans="1:1">
      <c r="A263" s="226"/>
    </row>
    <row r="264" spans="1:1">
      <c r="A264" s="226"/>
    </row>
    <row r="265" spans="1:1">
      <c r="A265" s="226"/>
    </row>
    <row r="266" spans="1:1">
      <c r="A266" s="226"/>
    </row>
    <row r="267" spans="1:1">
      <c r="A267" s="226"/>
    </row>
    <row r="268" spans="1:1">
      <c r="A268" s="226"/>
    </row>
    <row r="269" spans="1:1">
      <c r="A269" s="226"/>
    </row>
    <row r="270" spans="1:1">
      <c r="A270" s="226"/>
    </row>
    <row r="271" spans="1:1">
      <c r="A271" s="226"/>
    </row>
    <row r="272" spans="1:1">
      <c r="A272" s="226"/>
    </row>
    <row r="273" spans="1:1">
      <c r="A273" s="226"/>
    </row>
    <row r="274" spans="1:1">
      <c r="A274" s="226"/>
    </row>
    <row r="275" spans="1:1">
      <c r="A275" s="226"/>
    </row>
    <row r="276" spans="1:1">
      <c r="A276" s="226"/>
    </row>
    <row r="277" spans="1:1">
      <c r="A277" s="226"/>
    </row>
    <row r="278" spans="1:1">
      <c r="A278" s="226"/>
    </row>
    <row r="279" spans="1:1">
      <c r="A279" s="226"/>
    </row>
    <row r="280" spans="1:1">
      <c r="A280" s="226"/>
    </row>
    <row r="281" spans="1:1">
      <c r="A281" s="226"/>
    </row>
    <row r="282" spans="1:1">
      <c r="A282" s="226"/>
    </row>
    <row r="283" spans="1:1">
      <c r="A283" s="226"/>
    </row>
    <row r="284" spans="1:1">
      <c r="A284" s="226"/>
    </row>
    <row r="285" spans="1:1">
      <c r="A285" s="226"/>
    </row>
    <row r="286" spans="1:1">
      <c r="A286" s="226"/>
    </row>
    <row r="287" spans="1:1">
      <c r="A287" s="226"/>
    </row>
    <row r="288" spans="1:1">
      <c r="A288" s="226"/>
    </row>
    <row r="289" spans="1:1">
      <c r="A289" s="226"/>
    </row>
    <row r="290" spans="1:1">
      <c r="A290" s="226"/>
    </row>
    <row r="291" spans="1:1">
      <c r="A291" s="226"/>
    </row>
    <row r="292" spans="1:1">
      <c r="A292" s="226"/>
    </row>
    <row r="293" spans="1:1">
      <c r="A293" s="226"/>
    </row>
    <row r="294" spans="1:1">
      <c r="A294" s="226"/>
    </row>
    <row r="295" spans="1:1">
      <c r="A295" s="226"/>
    </row>
    <row r="296" spans="1:1">
      <c r="A296" s="226"/>
    </row>
    <row r="297" spans="1:1">
      <c r="A297" s="226"/>
    </row>
    <row r="298" spans="1:1">
      <c r="A298" s="226"/>
    </row>
    <row r="299" spans="1:1">
      <c r="A299" s="226"/>
    </row>
    <row r="300" spans="1:1">
      <c r="A300" s="226"/>
    </row>
    <row r="301" spans="1:1">
      <c r="A301" s="226"/>
    </row>
    <row r="302" spans="1:1">
      <c r="A302" s="226"/>
    </row>
    <row r="303" spans="1:1">
      <c r="A303" s="226"/>
    </row>
    <row r="304" spans="1:1">
      <c r="A304" s="226"/>
    </row>
    <row r="305" spans="1:1">
      <c r="A305" s="226"/>
    </row>
    <row r="306" spans="1:1">
      <c r="A306" s="226"/>
    </row>
    <row r="307" spans="1:1">
      <c r="A307" s="226"/>
    </row>
    <row r="308" spans="1:1">
      <c r="A308" s="226"/>
    </row>
    <row r="309" spans="1:1">
      <c r="A309" s="226"/>
    </row>
    <row r="310" spans="1:1">
      <c r="A310" s="226"/>
    </row>
    <row r="311" spans="1:1">
      <c r="A311" s="226"/>
    </row>
    <row r="312" spans="1:1">
      <c r="A312" s="226"/>
    </row>
    <row r="313" spans="1:1">
      <c r="A313" s="226"/>
    </row>
    <row r="314" spans="1:1">
      <c r="A314" s="226"/>
    </row>
    <row r="315" spans="1:1">
      <c r="A315" s="226"/>
    </row>
    <row r="316" spans="1:1">
      <c r="A316" s="226"/>
    </row>
    <row r="317" spans="1:1">
      <c r="A317" s="226"/>
    </row>
    <row r="318" spans="1:1">
      <c r="A318" s="226"/>
    </row>
    <row r="319" spans="1:1">
      <c r="A319" s="226"/>
    </row>
    <row r="320" spans="1:1">
      <c r="A320" s="226"/>
    </row>
    <row r="321" spans="1:1">
      <c r="A321" s="226"/>
    </row>
    <row r="322" spans="1:1">
      <c r="A322" s="226"/>
    </row>
    <row r="323" spans="1:1">
      <c r="A323" s="226"/>
    </row>
    <row r="324" spans="1:1">
      <c r="A324" s="226"/>
    </row>
    <row r="325" spans="1:1">
      <c r="A325" s="226"/>
    </row>
    <row r="326" spans="1:1">
      <c r="A326" s="226"/>
    </row>
    <row r="327" spans="1:1">
      <c r="A327" s="226"/>
    </row>
    <row r="328" spans="1:1">
      <c r="A328" s="226"/>
    </row>
    <row r="329" spans="1:1">
      <c r="A329" s="226"/>
    </row>
    <row r="330" spans="1:1">
      <c r="A330" s="226"/>
    </row>
    <row r="331" spans="1:1">
      <c r="A331" s="226"/>
    </row>
    <row r="332" spans="1:1">
      <c r="A332" s="226"/>
    </row>
    <row r="333" spans="1:1">
      <c r="A333" s="226"/>
    </row>
    <row r="334" spans="1:1">
      <c r="A334" s="226"/>
    </row>
    <row r="335" spans="1:1">
      <c r="A335" s="226"/>
    </row>
    <row r="336" spans="1:1">
      <c r="A336" s="226"/>
    </row>
    <row r="337" spans="1:1">
      <c r="A337" s="226"/>
    </row>
    <row r="338" spans="1:1">
      <c r="A338" s="226"/>
    </row>
    <row r="339" spans="1:1">
      <c r="A339" s="226"/>
    </row>
    <row r="340" spans="1:1">
      <c r="A340" s="226"/>
    </row>
    <row r="341" spans="1:1">
      <c r="A341" s="226"/>
    </row>
    <row r="342" spans="1:1">
      <c r="A342" s="226"/>
    </row>
    <row r="343" spans="1:1">
      <c r="A343" s="226"/>
    </row>
    <row r="344" spans="1:1">
      <c r="A344" s="226"/>
    </row>
    <row r="345" spans="1:1">
      <c r="A345" s="226"/>
    </row>
    <row r="346" spans="1:1">
      <c r="A346" s="226"/>
    </row>
    <row r="347" spans="1:1">
      <c r="A347" s="226"/>
    </row>
    <row r="348" spans="1:1">
      <c r="A348" s="226"/>
    </row>
    <row r="349" spans="1:1">
      <c r="A349" s="226"/>
    </row>
    <row r="350" spans="1:1">
      <c r="A350" s="226"/>
    </row>
    <row r="351" spans="1:1">
      <c r="A351" s="226"/>
    </row>
    <row r="352" spans="1:1">
      <c r="A352" s="226"/>
    </row>
    <row r="353" spans="1:1">
      <c r="A353" s="226"/>
    </row>
    <row r="354" spans="1:1">
      <c r="A354" s="226"/>
    </row>
    <row r="355" spans="1:1">
      <c r="A355" s="226"/>
    </row>
    <row r="356" spans="1:1">
      <c r="A356" s="226"/>
    </row>
    <row r="357" spans="1:1">
      <c r="A357" s="226"/>
    </row>
    <row r="358" spans="1:1">
      <c r="A358" s="226"/>
    </row>
    <row r="359" spans="1:1">
      <c r="A359" s="226"/>
    </row>
    <row r="360" spans="1:1">
      <c r="A360" s="226"/>
    </row>
    <row r="361" spans="1:1">
      <c r="A361" s="226"/>
    </row>
    <row r="362" spans="1:1">
      <c r="A362" s="226"/>
    </row>
    <row r="363" spans="1:1">
      <c r="A363" s="226"/>
    </row>
    <row r="364" spans="1:1">
      <c r="A364" s="226"/>
    </row>
    <row r="365" spans="1:1">
      <c r="A365" s="226"/>
    </row>
    <row r="366" spans="1:1">
      <c r="A366" s="226"/>
    </row>
    <row r="367" spans="1:1">
      <c r="A367" s="226"/>
    </row>
    <row r="368" spans="1:1">
      <c r="A368" s="226"/>
    </row>
    <row r="369" spans="1:1">
      <c r="A369" s="226"/>
    </row>
    <row r="370" spans="1:1">
      <c r="A370" s="226"/>
    </row>
    <row r="371" spans="1:1">
      <c r="A371" s="226"/>
    </row>
    <row r="372" spans="1:1">
      <c r="A372" s="226"/>
    </row>
    <row r="373" spans="1:1">
      <c r="A373" s="226"/>
    </row>
    <row r="374" spans="1:1">
      <c r="A374" s="226"/>
    </row>
    <row r="375" spans="1:1">
      <c r="A375" s="226"/>
    </row>
    <row r="376" spans="1:1">
      <c r="A376" s="226"/>
    </row>
    <row r="377" spans="1:1">
      <c r="A377" s="226"/>
    </row>
    <row r="378" spans="1:1">
      <c r="A378" s="226"/>
    </row>
    <row r="379" spans="1:1">
      <c r="A379" s="226"/>
    </row>
    <row r="380" spans="1:1">
      <c r="A380" s="226"/>
    </row>
    <row r="381" spans="1:1">
      <c r="A381" s="226"/>
    </row>
    <row r="382" spans="1:1">
      <c r="A382" s="226"/>
    </row>
    <row r="383" spans="1:1">
      <c r="A383" s="226"/>
    </row>
    <row r="384" spans="1:1">
      <c r="A384" s="226"/>
    </row>
    <row r="385" spans="1:1">
      <c r="A385" s="226"/>
    </row>
    <row r="386" spans="1:1">
      <c r="A386" s="226"/>
    </row>
    <row r="387" spans="1:1">
      <c r="A387" s="226"/>
    </row>
    <row r="388" spans="1:1">
      <c r="A388" s="226"/>
    </row>
    <row r="389" spans="1:1">
      <c r="A389" s="226"/>
    </row>
    <row r="390" spans="1:1">
      <c r="A390" s="226"/>
    </row>
    <row r="391" spans="1:1">
      <c r="A391" s="226"/>
    </row>
    <row r="392" spans="1:1">
      <c r="A392" s="226"/>
    </row>
    <row r="393" spans="1:1">
      <c r="A393" s="226"/>
    </row>
    <row r="394" spans="1:1">
      <c r="A394" s="226"/>
    </row>
    <row r="395" spans="1:1">
      <c r="A395" s="226"/>
    </row>
    <row r="396" spans="1:1">
      <c r="A396" s="226"/>
    </row>
    <row r="397" spans="1:1">
      <c r="A397" s="226"/>
    </row>
    <row r="398" spans="1:1">
      <c r="A398" s="226"/>
    </row>
    <row r="399" spans="1:1">
      <c r="A399" s="226"/>
    </row>
    <row r="400" spans="1:1">
      <c r="A400" s="226"/>
    </row>
    <row r="401" spans="1:1">
      <c r="A401" s="226"/>
    </row>
    <row r="402" spans="1:1">
      <c r="A402" s="226"/>
    </row>
    <row r="403" spans="1:1">
      <c r="A403" s="226"/>
    </row>
    <row r="404" spans="1:1">
      <c r="A404" s="226"/>
    </row>
    <row r="405" spans="1:1">
      <c r="A405" s="226"/>
    </row>
    <row r="406" spans="1:1">
      <c r="A406" s="226"/>
    </row>
    <row r="407" spans="1:1">
      <c r="A407" s="226"/>
    </row>
    <row r="408" spans="1:1">
      <c r="A408" s="226"/>
    </row>
    <row r="409" spans="1:1">
      <c r="A409" s="226"/>
    </row>
    <row r="410" spans="1:1">
      <c r="A410" s="226"/>
    </row>
    <row r="411" spans="1:1">
      <c r="A411" s="226"/>
    </row>
    <row r="412" spans="1:1">
      <c r="A412" s="226"/>
    </row>
    <row r="413" spans="1:1">
      <c r="A413" s="226"/>
    </row>
    <row r="414" spans="1:1">
      <c r="A414" s="226"/>
    </row>
    <row r="415" spans="1:1">
      <c r="A415" s="226"/>
    </row>
    <row r="416" spans="1:1">
      <c r="A416" s="226"/>
    </row>
    <row r="417" spans="1:1">
      <c r="A417" s="226"/>
    </row>
    <row r="418" spans="1:1">
      <c r="A418" s="226"/>
    </row>
    <row r="419" spans="1:1">
      <c r="A419" s="226"/>
    </row>
    <row r="420" spans="1:1">
      <c r="A420" s="226"/>
    </row>
    <row r="421" spans="1:1">
      <c r="A421" s="226"/>
    </row>
    <row r="422" spans="1:1">
      <c r="A422" s="226"/>
    </row>
    <row r="423" spans="1:1">
      <c r="A423" s="226"/>
    </row>
    <row r="424" spans="1:1">
      <c r="A424" s="226"/>
    </row>
    <row r="425" spans="1:1">
      <c r="A425" s="226"/>
    </row>
    <row r="426" spans="1:1">
      <c r="A426" s="226"/>
    </row>
    <row r="427" spans="1:1">
      <c r="A427" s="226"/>
    </row>
    <row r="428" spans="1:1">
      <c r="A428" s="226"/>
    </row>
    <row r="429" spans="1:1">
      <c r="A429" s="226"/>
    </row>
    <row r="430" spans="1:1">
      <c r="A430" s="226"/>
    </row>
    <row r="431" spans="1:1">
      <c r="A431" s="226"/>
    </row>
    <row r="432" spans="1:1">
      <c r="A432" s="226"/>
    </row>
    <row r="433" spans="1:1">
      <c r="A433" s="226"/>
    </row>
    <row r="434" spans="1:1">
      <c r="A434" s="226"/>
    </row>
    <row r="435" spans="1:1">
      <c r="A435" s="226"/>
    </row>
    <row r="436" spans="1:1">
      <c r="A436" s="226"/>
    </row>
    <row r="437" spans="1:1">
      <c r="A437" s="226"/>
    </row>
    <row r="438" spans="1:1">
      <c r="A438" s="226"/>
    </row>
    <row r="439" spans="1:1">
      <c r="A439" s="226"/>
    </row>
    <row r="440" spans="1:1">
      <c r="A440" s="226"/>
    </row>
    <row r="441" spans="1:1">
      <c r="A441" s="226"/>
    </row>
    <row r="442" spans="1:1">
      <c r="A442" s="226"/>
    </row>
    <row r="443" spans="1:1">
      <c r="A443" s="226"/>
    </row>
    <row r="444" spans="1:1">
      <c r="A444" s="226"/>
    </row>
    <row r="445" spans="1:1">
      <c r="A445" s="226"/>
    </row>
    <row r="446" spans="1:1">
      <c r="A446" s="226"/>
    </row>
    <row r="447" spans="1:1">
      <c r="A447" s="226"/>
    </row>
    <row r="448" spans="1:1">
      <c r="A448" s="226"/>
    </row>
    <row r="449" spans="1:1">
      <c r="A449" s="226"/>
    </row>
    <row r="450" spans="1:1">
      <c r="A450" s="226"/>
    </row>
    <row r="451" spans="1:1">
      <c r="A451" s="226"/>
    </row>
    <row r="452" spans="1:1">
      <c r="A452" s="226"/>
    </row>
    <row r="453" spans="1:1">
      <c r="A453" s="226"/>
    </row>
    <row r="454" spans="1:1">
      <c r="A454" s="226"/>
    </row>
    <row r="455" spans="1:1">
      <c r="A455" s="226"/>
    </row>
    <row r="456" spans="1:1">
      <c r="A456" s="226"/>
    </row>
    <row r="457" spans="1:1">
      <c r="A457" s="226"/>
    </row>
    <row r="458" spans="1:1">
      <c r="A458" s="226"/>
    </row>
    <row r="459" spans="1:1">
      <c r="A459" s="226"/>
    </row>
    <row r="460" spans="1:1">
      <c r="A460" s="226"/>
    </row>
    <row r="461" spans="1:1">
      <c r="A461" s="226"/>
    </row>
    <row r="462" spans="1:1">
      <c r="A462" s="226"/>
    </row>
    <row r="463" spans="1:1">
      <c r="A463" s="226"/>
    </row>
    <row r="464" spans="1:1">
      <c r="A464" s="226"/>
    </row>
    <row r="465" spans="1:1">
      <c r="A465" s="226"/>
    </row>
    <row r="466" spans="1:1">
      <c r="A466" s="226"/>
    </row>
    <row r="467" spans="1:1">
      <c r="A467" s="226"/>
    </row>
    <row r="468" spans="1:1">
      <c r="A468" s="226"/>
    </row>
    <row r="469" spans="1:1">
      <c r="A469" s="226"/>
    </row>
    <row r="470" spans="1:1">
      <c r="A470" s="226"/>
    </row>
    <row r="471" spans="1:1">
      <c r="A471" s="226"/>
    </row>
    <row r="472" spans="1:1">
      <c r="A472" s="226"/>
    </row>
    <row r="473" spans="1:1">
      <c r="A473" s="226"/>
    </row>
    <row r="474" spans="1:1">
      <c r="A474" s="226"/>
    </row>
    <row r="475" spans="1:1">
      <c r="A475" s="226"/>
    </row>
    <row r="476" spans="1:1">
      <c r="A476" s="226"/>
    </row>
    <row r="477" spans="1:1">
      <c r="A477" s="226"/>
    </row>
    <row r="478" spans="1:1">
      <c r="A478" s="226"/>
    </row>
    <row r="479" spans="1:1">
      <c r="A479" s="226"/>
    </row>
    <row r="480" spans="1:1">
      <c r="A480" s="226"/>
    </row>
    <row r="481" spans="1:1">
      <c r="A481" s="226"/>
    </row>
    <row r="482" spans="1:1">
      <c r="A482" s="226"/>
    </row>
    <row r="483" spans="1:1">
      <c r="A483" s="226"/>
    </row>
    <row r="484" spans="1:1">
      <c r="A484" s="226"/>
    </row>
    <row r="485" spans="1:1">
      <c r="A485" s="226"/>
    </row>
    <row r="486" spans="1:1">
      <c r="A486" s="226"/>
    </row>
    <row r="487" spans="1:1">
      <c r="A487" s="226"/>
    </row>
    <row r="488" spans="1:1">
      <c r="A488" s="226"/>
    </row>
    <row r="489" spans="1:1">
      <c r="A489" s="226"/>
    </row>
    <row r="490" spans="1:1">
      <c r="A490" s="226"/>
    </row>
    <row r="491" spans="1:1">
      <c r="A491" s="226"/>
    </row>
    <row r="492" spans="1:1">
      <c r="A492" s="226"/>
    </row>
    <row r="493" spans="1:1">
      <c r="A493" s="226"/>
    </row>
    <row r="494" spans="1:1">
      <c r="A494" s="226"/>
    </row>
    <row r="495" spans="1:1">
      <c r="A495" s="226"/>
    </row>
    <row r="496" spans="1:1">
      <c r="A496" s="226"/>
    </row>
    <row r="497" spans="1:1">
      <c r="A497" s="226"/>
    </row>
    <row r="498" spans="1:1">
      <c r="A498" s="226"/>
    </row>
    <row r="499" spans="1:1">
      <c r="A499" s="226"/>
    </row>
    <row r="500" spans="1:1">
      <c r="A500" s="226"/>
    </row>
    <row r="501" spans="1:1">
      <c r="A501" s="226"/>
    </row>
    <row r="502" spans="1:1">
      <c r="A502" s="226"/>
    </row>
    <row r="503" spans="1:1">
      <c r="A503" s="226"/>
    </row>
    <row r="504" spans="1:1">
      <c r="A504" s="226"/>
    </row>
    <row r="505" spans="1:1">
      <c r="A505" s="226"/>
    </row>
    <row r="506" spans="1:1">
      <c r="A506" s="226"/>
    </row>
    <row r="507" spans="1:1">
      <c r="A507" s="226"/>
    </row>
    <row r="508" spans="1:1">
      <c r="A508" s="226"/>
    </row>
    <row r="509" spans="1:1">
      <c r="A509" s="226"/>
    </row>
    <row r="510" spans="1:1">
      <c r="A510" s="226"/>
    </row>
    <row r="511" spans="1:1">
      <c r="A511" s="226"/>
    </row>
    <row r="512" spans="1:1">
      <c r="A512" s="226"/>
    </row>
    <row r="513" spans="1:1">
      <c r="A513" s="226"/>
    </row>
    <row r="514" spans="1:1">
      <c r="A514" s="226"/>
    </row>
    <row r="515" spans="1:1">
      <c r="A515" s="226"/>
    </row>
    <row r="516" spans="1:1">
      <c r="A516" s="226"/>
    </row>
    <row r="517" spans="1:1">
      <c r="A517" s="226"/>
    </row>
    <row r="518" spans="1:1">
      <c r="A518" s="226"/>
    </row>
    <row r="519" spans="1:1">
      <c r="A519" s="226"/>
    </row>
    <row r="520" spans="1:1">
      <c r="A520" s="226"/>
    </row>
    <row r="521" spans="1:1">
      <c r="A521" s="226"/>
    </row>
    <row r="522" spans="1:1">
      <c r="A522" s="226"/>
    </row>
    <row r="523" spans="1:1">
      <c r="A523" s="226"/>
    </row>
    <row r="524" spans="1:1">
      <c r="A524" s="226"/>
    </row>
    <row r="525" spans="1:1">
      <c r="A525" s="226"/>
    </row>
    <row r="526" spans="1:1">
      <c r="A526" s="226"/>
    </row>
    <row r="527" spans="1:1">
      <c r="A527" s="226"/>
    </row>
    <row r="528" spans="1:1">
      <c r="A528" s="226"/>
    </row>
    <row r="529" spans="1:1">
      <c r="A529" s="226"/>
    </row>
    <row r="530" spans="1:1">
      <c r="A530" s="226"/>
    </row>
    <row r="531" spans="1:1">
      <c r="A531" s="226"/>
    </row>
    <row r="532" spans="1:1">
      <c r="A532" s="226"/>
    </row>
    <row r="533" spans="1:1">
      <c r="A533" s="226"/>
    </row>
    <row r="534" spans="1:1">
      <c r="A534" s="226"/>
    </row>
    <row r="535" spans="1:1">
      <c r="A535" s="226"/>
    </row>
    <row r="536" spans="1:1">
      <c r="A536" s="226"/>
    </row>
    <row r="537" spans="1:1">
      <c r="A537" s="226"/>
    </row>
    <row r="538" spans="1:1">
      <c r="A538" s="226"/>
    </row>
    <row r="539" spans="1:1">
      <c r="A539" s="226"/>
    </row>
    <row r="540" spans="1:1">
      <c r="A540" s="226"/>
    </row>
    <row r="541" spans="1:1">
      <c r="A541" s="226"/>
    </row>
    <row r="542" spans="1:1">
      <c r="A542" s="226"/>
    </row>
    <row r="543" spans="1:1">
      <c r="A543" s="226"/>
    </row>
    <row r="544" spans="1:1">
      <c r="A544" s="226"/>
    </row>
    <row r="545" spans="1:1">
      <c r="A545" s="226"/>
    </row>
    <row r="546" spans="1:1">
      <c r="A546" s="226"/>
    </row>
    <row r="547" spans="1:1">
      <c r="A547" s="226"/>
    </row>
    <row r="548" spans="1:1">
      <c r="A548" s="226"/>
    </row>
    <row r="549" spans="1:1">
      <c r="A549" s="226"/>
    </row>
    <row r="550" spans="1:1">
      <c r="A550" s="226"/>
    </row>
    <row r="551" spans="1:1">
      <c r="A551" s="226"/>
    </row>
    <row r="552" spans="1:1">
      <c r="A552" s="226"/>
    </row>
    <row r="553" spans="1:1">
      <c r="A553" s="226"/>
    </row>
    <row r="554" spans="1:1">
      <c r="A554" s="226"/>
    </row>
    <row r="555" spans="1:1">
      <c r="A555" s="226"/>
    </row>
    <row r="556" spans="1:1">
      <c r="A556" s="226"/>
    </row>
    <row r="557" spans="1:1">
      <c r="A557" s="226"/>
    </row>
    <row r="558" spans="1:1">
      <c r="A558" s="226"/>
    </row>
    <row r="559" spans="1:1">
      <c r="A559" s="226"/>
    </row>
    <row r="560" spans="1:1">
      <c r="A560" s="226"/>
    </row>
    <row r="561" spans="1:1">
      <c r="A561" s="226"/>
    </row>
    <row r="562" spans="1:1">
      <c r="A562" s="226"/>
    </row>
    <row r="563" spans="1:1">
      <c r="A563" s="226"/>
    </row>
    <row r="564" spans="1:1">
      <c r="A564" s="226"/>
    </row>
    <row r="565" spans="1:1">
      <c r="A565" s="226"/>
    </row>
    <row r="566" spans="1:1">
      <c r="A566" s="226"/>
    </row>
    <row r="567" spans="1:1">
      <c r="A567" s="226"/>
    </row>
    <row r="568" spans="1:1">
      <c r="A568" s="226"/>
    </row>
    <row r="569" spans="1:1">
      <c r="A569" s="226"/>
    </row>
    <row r="570" spans="1:1">
      <c r="A570" s="226"/>
    </row>
    <row r="571" spans="1:1">
      <c r="A571" s="226"/>
    </row>
    <row r="572" spans="1:1">
      <c r="A572" s="226"/>
    </row>
    <row r="573" spans="1:1">
      <c r="A573" s="226"/>
    </row>
    <row r="574" spans="1:1">
      <c r="A574" s="226"/>
    </row>
    <row r="575" spans="1:1">
      <c r="A575" s="226"/>
    </row>
    <row r="576" spans="1:1">
      <c r="A576" s="226"/>
    </row>
    <row r="577" spans="1:1">
      <c r="A577" s="226"/>
    </row>
    <row r="578" spans="1:1">
      <c r="A578" s="226"/>
    </row>
    <row r="579" spans="1:1">
      <c r="A579" s="226"/>
    </row>
    <row r="580" spans="1:1">
      <c r="A580" s="226"/>
    </row>
    <row r="581" spans="1:1">
      <c r="A581" s="226"/>
    </row>
    <row r="582" spans="1:1">
      <c r="A582" s="226"/>
    </row>
    <row r="583" spans="1:1">
      <c r="A583" s="226"/>
    </row>
    <row r="584" spans="1:1">
      <c r="A584" s="226"/>
    </row>
    <row r="585" spans="1:1">
      <c r="A585" s="226"/>
    </row>
    <row r="586" spans="1:1">
      <c r="A586" s="226"/>
    </row>
    <row r="587" spans="1:1">
      <c r="A587" s="226"/>
    </row>
    <row r="588" spans="1:1">
      <c r="A588" s="226"/>
    </row>
    <row r="589" spans="1:1">
      <c r="A589" s="226"/>
    </row>
    <row r="590" spans="1:1">
      <c r="A590" s="226"/>
    </row>
    <row r="591" spans="1:1">
      <c r="A591" s="226"/>
    </row>
    <row r="592" spans="1:1">
      <c r="A592" s="226"/>
    </row>
    <row r="593" spans="1:1">
      <c r="A593" s="226"/>
    </row>
    <row r="594" spans="1:1">
      <c r="A594" s="226"/>
    </row>
    <row r="595" spans="1:1">
      <c r="A595" s="226"/>
    </row>
    <row r="596" spans="1:1">
      <c r="A596" s="226"/>
    </row>
    <row r="597" spans="1:1">
      <c r="A597" s="226"/>
    </row>
    <row r="598" spans="1:1">
      <c r="A598" s="226"/>
    </row>
    <row r="599" spans="1:1">
      <c r="A599" s="226"/>
    </row>
    <row r="600" spans="1:1">
      <c r="A600" s="226"/>
    </row>
    <row r="601" spans="1:1">
      <c r="A601" s="226"/>
    </row>
    <row r="602" spans="1:1">
      <c r="A602" s="226"/>
    </row>
    <row r="603" spans="1:1">
      <c r="A603" s="226"/>
    </row>
    <row r="604" spans="1:1">
      <c r="A604" s="226"/>
    </row>
    <row r="605" spans="1:1">
      <c r="A605" s="226"/>
    </row>
    <row r="606" spans="1:1">
      <c r="A606" s="226"/>
    </row>
    <row r="607" spans="1:1">
      <c r="A607" s="226"/>
    </row>
    <row r="608" spans="1:1">
      <c r="A608" s="226"/>
    </row>
    <row r="609" spans="1:1">
      <c r="A609" s="226"/>
    </row>
    <row r="610" spans="1:1">
      <c r="A610" s="226"/>
    </row>
    <row r="611" spans="1:1">
      <c r="A611" s="226"/>
    </row>
    <row r="612" spans="1:1">
      <c r="A612" s="226"/>
    </row>
    <row r="613" spans="1:1">
      <c r="A613" s="226"/>
    </row>
    <row r="614" spans="1:1">
      <c r="A614" s="226"/>
    </row>
    <row r="615" spans="1:1">
      <c r="A615" s="226"/>
    </row>
    <row r="616" spans="1:1">
      <c r="A616" s="226"/>
    </row>
    <row r="617" spans="1:1">
      <c r="A617" s="226"/>
    </row>
    <row r="618" spans="1:1">
      <c r="A618" s="226"/>
    </row>
    <row r="619" spans="1:1">
      <c r="A619" s="226"/>
    </row>
    <row r="620" spans="1:1">
      <c r="A620" s="226"/>
    </row>
    <row r="621" spans="1:1">
      <c r="A621" s="226"/>
    </row>
    <row r="622" spans="1:1">
      <c r="A622" s="226"/>
    </row>
    <row r="623" spans="1:1">
      <c r="A623" s="226"/>
    </row>
    <row r="624" spans="1:1">
      <c r="A624" s="226"/>
    </row>
    <row r="625" spans="1:1">
      <c r="A625" s="226"/>
    </row>
    <row r="626" spans="1:1">
      <c r="A626" s="226"/>
    </row>
    <row r="627" spans="1:1">
      <c r="A627" s="226"/>
    </row>
    <row r="628" spans="1:1">
      <c r="A628" s="226"/>
    </row>
    <row r="629" spans="1:1">
      <c r="A629" s="226"/>
    </row>
    <row r="630" spans="1:1">
      <c r="A630" s="226"/>
    </row>
    <row r="631" spans="1:1">
      <c r="A631" s="226"/>
    </row>
    <row r="632" spans="1:1">
      <c r="A632" s="226"/>
    </row>
    <row r="633" spans="1:1">
      <c r="A633" s="226"/>
    </row>
    <row r="634" spans="1:1">
      <c r="A634" s="226"/>
    </row>
    <row r="635" spans="1:1">
      <c r="A635" s="226"/>
    </row>
    <row r="636" spans="1:1">
      <c r="A636" s="226"/>
    </row>
    <row r="637" spans="1:1">
      <c r="A637" s="226"/>
    </row>
    <row r="638" spans="1:1">
      <c r="A638" s="226"/>
    </row>
    <row r="639" spans="1:1">
      <c r="A639" s="226"/>
    </row>
    <row r="640" spans="1:1">
      <c r="A640" s="226"/>
    </row>
    <row r="641" spans="1:1">
      <c r="A641" s="226"/>
    </row>
    <row r="642" spans="1:1">
      <c r="A642" s="226"/>
    </row>
    <row r="643" spans="1:1">
      <c r="A643" s="226"/>
    </row>
    <row r="644" spans="1:1">
      <c r="A644" s="226"/>
    </row>
    <row r="645" spans="1:1">
      <c r="A645" s="226"/>
    </row>
    <row r="646" spans="1:1">
      <c r="A646" s="226"/>
    </row>
    <row r="647" spans="1:1">
      <c r="A647" s="226"/>
    </row>
    <row r="648" spans="1:1">
      <c r="A648" s="226"/>
    </row>
    <row r="649" spans="1:1">
      <c r="A649" s="226"/>
    </row>
    <row r="650" spans="1:1">
      <c r="A650" s="226"/>
    </row>
    <row r="651" spans="1:1">
      <c r="A651" s="226"/>
    </row>
    <row r="652" spans="1:1">
      <c r="A652" s="226"/>
    </row>
    <row r="653" spans="1:1">
      <c r="A653" s="226"/>
    </row>
    <row r="654" spans="1:1">
      <c r="A654" s="226"/>
    </row>
    <row r="655" spans="1:1">
      <c r="A655" s="226"/>
    </row>
    <row r="656" spans="1:1">
      <c r="A656" s="226"/>
    </row>
    <row r="657" spans="1:1">
      <c r="A657" s="226"/>
    </row>
    <row r="658" spans="1:1">
      <c r="A658" s="226"/>
    </row>
    <row r="659" spans="1:1">
      <c r="A659" s="226"/>
    </row>
    <row r="660" spans="1:1">
      <c r="A660" s="226"/>
    </row>
    <row r="661" spans="1:1">
      <c r="A661" s="226"/>
    </row>
    <row r="662" spans="1:1">
      <c r="A662" s="226"/>
    </row>
    <row r="663" spans="1:1">
      <c r="A663" s="226"/>
    </row>
    <row r="664" spans="1:1">
      <c r="A664" s="226"/>
    </row>
    <row r="665" spans="1:1">
      <c r="A665" s="226"/>
    </row>
    <row r="666" spans="1:1">
      <c r="A666" s="226"/>
    </row>
    <row r="667" spans="1:1">
      <c r="A667" s="226"/>
    </row>
    <row r="668" spans="1:1">
      <c r="A668" s="226"/>
    </row>
    <row r="669" spans="1:1">
      <c r="A669" s="226"/>
    </row>
    <row r="670" spans="1:1">
      <c r="A670" s="226"/>
    </row>
    <row r="671" spans="1:1">
      <c r="A671" s="226"/>
    </row>
    <row r="672" spans="1:1">
      <c r="A672" s="226"/>
    </row>
    <row r="673" spans="1:1">
      <c r="A673" s="226"/>
    </row>
    <row r="674" spans="1:1">
      <c r="A674" s="226"/>
    </row>
    <row r="675" spans="1:1">
      <c r="A675" s="226"/>
    </row>
    <row r="676" spans="1:1">
      <c r="A676" s="226"/>
    </row>
    <row r="677" spans="1:1">
      <c r="A677" s="226"/>
    </row>
    <row r="678" spans="1:1">
      <c r="A678" s="226"/>
    </row>
    <row r="679" spans="1:1">
      <c r="A679" s="226"/>
    </row>
    <row r="680" spans="1:1">
      <c r="A680" s="226"/>
    </row>
    <row r="681" spans="1:1">
      <c r="A681" s="226"/>
    </row>
    <row r="682" spans="1:1">
      <c r="A682" s="226"/>
    </row>
    <row r="683" spans="1:1">
      <c r="A683" s="226"/>
    </row>
    <row r="684" spans="1:1">
      <c r="A684" s="226"/>
    </row>
    <row r="685" spans="1:1">
      <c r="A685" s="226"/>
    </row>
    <row r="686" spans="1:1">
      <c r="A686" s="226"/>
    </row>
    <row r="687" spans="1:1">
      <c r="A687" s="226"/>
    </row>
    <row r="688" spans="1:1">
      <c r="A688" s="226"/>
    </row>
    <row r="689" spans="1:1">
      <c r="A689" s="226"/>
    </row>
    <row r="690" spans="1:1">
      <c r="A690" s="226"/>
    </row>
    <row r="691" spans="1:1">
      <c r="A691" s="226"/>
    </row>
    <row r="692" spans="1:1">
      <c r="A692" s="226"/>
    </row>
    <row r="693" spans="1:1">
      <c r="A693" s="226"/>
    </row>
    <row r="694" spans="1:1">
      <c r="A694" s="226"/>
    </row>
    <row r="695" spans="1:1">
      <c r="A695" s="226"/>
    </row>
    <row r="696" spans="1:1">
      <c r="A696" s="226"/>
    </row>
    <row r="697" spans="1:1">
      <c r="A697" s="226"/>
    </row>
    <row r="698" spans="1:1">
      <c r="A698" s="226"/>
    </row>
    <row r="699" spans="1:1">
      <c r="A699" s="226"/>
    </row>
    <row r="700" spans="1:1">
      <c r="A700" s="226"/>
    </row>
    <row r="701" spans="1:1">
      <c r="A701" s="226"/>
    </row>
    <row r="702" spans="1:1">
      <c r="A702" s="226"/>
    </row>
    <row r="703" spans="1:1">
      <c r="A703" s="226"/>
    </row>
    <row r="704" spans="1:1">
      <c r="A704" s="226"/>
    </row>
    <row r="705" spans="1:1">
      <c r="A705" s="226"/>
    </row>
    <row r="706" spans="1:1">
      <c r="A706" s="226"/>
    </row>
    <row r="707" spans="1:1">
      <c r="A707" s="226"/>
    </row>
    <row r="708" spans="1:1">
      <c r="A708" s="226"/>
    </row>
    <row r="709" spans="1:1">
      <c r="A709" s="226"/>
    </row>
    <row r="710" spans="1:1">
      <c r="A710" s="226"/>
    </row>
    <row r="711" spans="1:1">
      <c r="A711" s="226"/>
    </row>
    <row r="712" spans="1:1">
      <c r="A712" s="226"/>
    </row>
    <row r="713" spans="1:1">
      <c r="A713" s="226"/>
    </row>
    <row r="714" spans="1:1">
      <c r="A714" s="226"/>
    </row>
    <row r="715" spans="1:1">
      <c r="A715" s="226"/>
    </row>
    <row r="716" spans="1:1">
      <c r="A716" s="226"/>
    </row>
    <row r="717" spans="1:1">
      <c r="A717" s="226"/>
    </row>
    <row r="718" spans="1:1">
      <c r="A718" s="226"/>
    </row>
    <row r="719" spans="1:1">
      <c r="A719" s="226"/>
    </row>
    <row r="720" spans="1:1">
      <c r="A720" s="226"/>
    </row>
    <row r="721" spans="1:1">
      <c r="A721" s="226"/>
    </row>
    <row r="722" spans="1:1">
      <c r="A722" s="226"/>
    </row>
    <row r="723" spans="1:1">
      <c r="A723" s="226"/>
    </row>
    <row r="724" spans="1:1">
      <c r="A724" s="226"/>
    </row>
    <row r="725" spans="1:1">
      <c r="A725" s="226"/>
    </row>
    <row r="726" spans="1:1">
      <c r="A726" s="226"/>
    </row>
    <row r="727" spans="1:1">
      <c r="A727" s="226"/>
    </row>
    <row r="728" spans="1:1">
      <c r="A728" s="226"/>
    </row>
    <row r="729" spans="1:1">
      <c r="A729" s="226"/>
    </row>
    <row r="730" spans="1:1">
      <c r="A730" s="226"/>
    </row>
    <row r="731" spans="1:1">
      <c r="A731" s="226"/>
    </row>
    <row r="732" spans="1:1">
      <c r="A732" s="226"/>
    </row>
    <row r="733" spans="1:1">
      <c r="A733" s="226"/>
    </row>
    <row r="734" spans="1:1">
      <c r="A734" s="226"/>
    </row>
    <row r="735" spans="1:1">
      <c r="A735" s="226"/>
    </row>
    <row r="736" spans="1:1">
      <c r="A736" s="226"/>
    </row>
    <row r="737" spans="1:1">
      <c r="A737" s="226"/>
    </row>
    <row r="738" spans="1:1">
      <c r="A738" s="226"/>
    </row>
    <row r="739" spans="1:1">
      <c r="A739" s="226"/>
    </row>
    <row r="740" spans="1:1">
      <c r="A740" s="226"/>
    </row>
    <row r="741" spans="1:1">
      <c r="A741" s="226"/>
    </row>
    <row r="742" spans="1:1">
      <c r="A742" s="226"/>
    </row>
    <row r="743" spans="1:1">
      <c r="A743" s="226"/>
    </row>
    <row r="744" spans="1:1">
      <c r="A744" s="226"/>
    </row>
    <row r="745" spans="1:1">
      <c r="A745" s="226"/>
    </row>
    <row r="746" spans="1:1">
      <c r="A746" s="226"/>
    </row>
    <row r="747" spans="1:1">
      <c r="A747" s="226"/>
    </row>
    <row r="748" spans="1:1">
      <c r="A748" s="226"/>
    </row>
    <row r="749" spans="1:1">
      <c r="A749" s="226"/>
    </row>
    <row r="750" spans="1:1">
      <c r="A750" s="226"/>
    </row>
    <row r="751" spans="1:1">
      <c r="A751" s="226"/>
    </row>
    <row r="752" spans="1:1">
      <c r="A752" s="226"/>
    </row>
    <row r="753" spans="1:1">
      <c r="A753" s="226"/>
    </row>
    <row r="754" spans="1:1">
      <c r="A754" s="226"/>
    </row>
    <row r="755" spans="1:1">
      <c r="A755" s="226"/>
    </row>
    <row r="756" spans="1:1">
      <c r="A756" s="226"/>
    </row>
    <row r="757" spans="1:1">
      <c r="A757" s="226"/>
    </row>
    <row r="758" spans="1:1">
      <c r="A758" s="226"/>
    </row>
    <row r="759" spans="1:1">
      <c r="A759" s="226"/>
    </row>
    <row r="760" spans="1:1">
      <c r="A760" s="226"/>
    </row>
    <row r="761" spans="1:1">
      <c r="A761" s="226"/>
    </row>
    <row r="762" spans="1:1">
      <c r="A762" s="226"/>
    </row>
    <row r="763" spans="1:1">
      <c r="A763" s="226"/>
    </row>
    <row r="764" spans="1:1">
      <c r="A764" s="226"/>
    </row>
    <row r="765" spans="1:1">
      <c r="A765" s="226"/>
    </row>
    <row r="766" spans="1:1">
      <c r="A766" s="226"/>
    </row>
    <row r="767" spans="1:1">
      <c r="A767" s="226"/>
    </row>
    <row r="768" spans="1:1">
      <c r="A768" s="226"/>
    </row>
    <row r="769" spans="1:1">
      <c r="A769" s="226"/>
    </row>
    <row r="770" spans="1:1">
      <c r="A770" s="226"/>
    </row>
    <row r="771" spans="1:1">
      <c r="A771" s="226"/>
    </row>
    <row r="772" spans="1:1">
      <c r="A772" s="226"/>
    </row>
    <row r="773" spans="1:1">
      <c r="A773" s="226"/>
    </row>
    <row r="774" spans="1:1">
      <c r="A774" s="226"/>
    </row>
    <row r="775" spans="1:1">
      <c r="A775" s="226"/>
    </row>
    <row r="776" spans="1:1">
      <c r="A776" s="226"/>
    </row>
    <row r="777" spans="1:1">
      <c r="A777" s="226"/>
    </row>
    <row r="778" spans="1:1">
      <c r="A778" s="226"/>
    </row>
    <row r="779" spans="1:1">
      <c r="A779" s="226"/>
    </row>
    <row r="780" spans="1:1">
      <c r="A780" s="226"/>
    </row>
    <row r="781" spans="1:1">
      <c r="A781" s="226"/>
    </row>
    <row r="782" spans="1:1">
      <c r="A782" s="226"/>
    </row>
    <row r="783" spans="1:1">
      <c r="A783" s="226"/>
    </row>
    <row r="784" spans="1:1">
      <c r="A784" s="226"/>
    </row>
    <row r="785" spans="1:1">
      <c r="A785" s="226"/>
    </row>
    <row r="786" spans="1:1">
      <c r="A786" s="226"/>
    </row>
    <row r="787" spans="1:1">
      <c r="A787" s="226"/>
    </row>
    <row r="788" spans="1:1">
      <c r="A788" s="226"/>
    </row>
    <row r="789" spans="1:1">
      <c r="A789" s="226"/>
    </row>
    <row r="790" spans="1:1">
      <c r="A790" s="226"/>
    </row>
    <row r="791" spans="1:1">
      <c r="A791" s="226"/>
    </row>
    <row r="792" spans="1:1">
      <c r="A792" s="226"/>
    </row>
    <row r="793" spans="1:1">
      <c r="A793" s="226"/>
    </row>
    <row r="794" spans="1:1">
      <c r="A794" s="226"/>
    </row>
    <row r="795" spans="1:1">
      <c r="A795" s="226"/>
    </row>
    <row r="796" spans="1:1">
      <c r="A796" s="226"/>
    </row>
    <row r="797" spans="1:1">
      <c r="A797" s="226"/>
    </row>
    <row r="798" spans="1:1">
      <c r="A798" s="226"/>
    </row>
    <row r="799" spans="1:1">
      <c r="A799" s="226"/>
    </row>
    <row r="800" spans="1:1">
      <c r="A800" s="226"/>
    </row>
    <row r="801" spans="1:1">
      <c r="A801" s="226"/>
    </row>
    <row r="802" spans="1:1">
      <c r="A802" s="226"/>
    </row>
    <row r="803" spans="1:1">
      <c r="A803" s="226"/>
    </row>
    <row r="804" spans="1:1">
      <c r="A804" s="226"/>
    </row>
    <row r="805" spans="1:1">
      <c r="A805" s="226"/>
    </row>
    <row r="806" spans="1:1">
      <c r="A806" s="226"/>
    </row>
    <row r="807" spans="1:1">
      <c r="A807" s="226"/>
    </row>
    <row r="808" spans="1:1">
      <c r="A808" s="226"/>
    </row>
    <row r="809" spans="1:1">
      <c r="A809" s="226"/>
    </row>
    <row r="810" spans="1:1">
      <c r="A810" s="226"/>
    </row>
    <row r="811" spans="1:1">
      <c r="A811" s="226"/>
    </row>
    <row r="812" spans="1:1">
      <c r="A812" s="226"/>
    </row>
    <row r="813" spans="1:1">
      <c r="A813" s="226"/>
    </row>
    <row r="814" spans="1:1">
      <c r="A814" s="226"/>
    </row>
    <row r="815" spans="1:1">
      <c r="A815" s="226"/>
    </row>
    <row r="816" spans="1:1">
      <c r="A816" s="226"/>
    </row>
    <row r="817" spans="1:1">
      <c r="A817" s="226"/>
    </row>
    <row r="818" spans="1:1">
      <c r="A818" s="226"/>
    </row>
    <row r="819" spans="1:1">
      <c r="A819" s="226"/>
    </row>
    <row r="820" spans="1:1">
      <c r="A820" s="226"/>
    </row>
    <row r="821" spans="1:1">
      <c r="A821" s="226"/>
    </row>
    <row r="822" spans="1:1">
      <c r="A822" s="226"/>
    </row>
    <row r="823" spans="1:1">
      <c r="A823" s="226"/>
    </row>
    <row r="824" spans="1:1">
      <c r="A824" s="226"/>
    </row>
    <row r="825" spans="1:1">
      <c r="A825" s="226"/>
    </row>
    <row r="826" spans="1:1">
      <c r="A826" s="226"/>
    </row>
    <row r="827" spans="1:1">
      <c r="A827" s="226"/>
    </row>
    <row r="828" spans="1:1">
      <c r="A828" s="226"/>
    </row>
    <row r="829" spans="1:1">
      <c r="A829" s="226"/>
    </row>
    <row r="830" spans="1:1">
      <c r="A830" s="226"/>
    </row>
    <row r="831" spans="1:1">
      <c r="A831" s="226"/>
    </row>
    <row r="832" spans="1:1">
      <c r="A832" s="226"/>
    </row>
    <row r="833" spans="1:1">
      <c r="A833" s="226"/>
    </row>
    <row r="834" spans="1:1">
      <c r="A834" s="226"/>
    </row>
    <row r="835" spans="1:1">
      <c r="A835" s="226"/>
    </row>
    <row r="836" spans="1:1">
      <c r="A836" s="226"/>
    </row>
    <row r="837" spans="1:1">
      <c r="A837" s="226"/>
    </row>
    <row r="838" spans="1:1">
      <c r="A838" s="226"/>
    </row>
    <row r="839" spans="1:1">
      <c r="A839" s="226"/>
    </row>
    <row r="840" spans="1:1">
      <c r="A840" s="226"/>
    </row>
    <row r="841" spans="1:1">
      <c r="A841" s="226"/>
    </row>
    <row r="842" spans="1:1">
      <c r="A842" s="226"/>
    </row>
    <row r="843" spans="1:1">
      <c r="A843" s="226"/>
    </row>
    <row r="844" spans="1:1">
      <c r="A844" s="226"/>
    </row>
    <row r="845" spans="1:1">
      <c r="A845" s="226"/>
    </row>
    <row r="846" spans="1:1">
      <c r="A846" s="226"/>
    </row>
    <row r="847" spans="1:1">
      <c r="A847" s="226"/>
    </row>
    <row r="848" spans="1:1">
      <c r="A848" s="226"/>
    </row>
    <row r="849" spans="1:1">
      <c r="A849" s="226"/>
    </row>
    <row r="850" spans="1:1">
      <c r="A850" s="226"/>
    </row>
    <row r="851" spans="1:1">
      <c r="A851" s="226"/>
    </row>
    <row r="852" spans="1:1">
      <c r="A852" s="226"/>
    </row>
    <row r="853" spans="1:1">
      <c r="A853" s="226"/>
    </row>
    <row r="854" spans="1:1">
      <c r="A854" s="226"/>
    </row>
    <row r="855" spans="1:1">
      <c r="A855" s="226"/>
    </row>
    <row r="856" spans="1:1">
      <c r="A856" s="226"/>
    </row>
    <row r="857" spans="1:1">
      <c r="A857" s="226"/>
    </row>
    <row r="858" spans="1:1">
      <c r="A858" s="226"/>
    </row>
    <row r="859" spans="1:1">
      <c r="A859" s="226"/>
    </row>
    <row r="860" spans="1:1">
      <c r="A860" s="226"/>
    </row>
    <row r="861" spans="1:1">
      <c r="A861" s="226"/>
    </row>
    <row r="862" spans="1:1">
      <c r="A862" s="226"/>
    </row>
    <row r="863" spans="1:1">
      <c r="A863" s="226"/>
    </row>
    <row r="864" spans="1:1">
      <c r="A864" s="226"/>
    </row>
    <row r="865" spans="1:1">
      <c r="A865" s="226"/>
    </row>
    <row r="866" spans="1:1">
      <c r="A866" s="226"/>
    </row>
    <row r="867" spans="1:1">
      <c r="A867" s="226"/>
    </row>
    <row r="868" spans="1:1">
      <c r="A868" s="226"/>
    </row>
    <row r="869" spans="1:1">
      <c r="A869" s="226"/>
    </row>
    <row r="870" spans="1:1">
      <c r="A870" s="226"/>
    </row>
    <row r="871" spans="1:1">
      <c r="A871" s="226"/>
    </row>
    <row r="872" spans="1:1">
      <c r="A872" s="226"/>
    </row>
    <row r="873" spans="1:1">
      <c r="A873" s="226"/>
    </row>
    <row r="874" spans="1:1">
      <c r="A874" s="226"/>
    </row>
    <row r="875" spans="1:1">
      <c r="A875" s="226"/>
    </row>
    <row r="876" spans="1:1">
      <c r="A876" s="226"/>
    </row>
    <row r="877" spans="1:1">
      <c r="A877" s="226"/>
    </row>
    <row r="878" spans="1:1">
      <c r="A878" s="226"/>
    </row>
    <row r="879" spans="1:1">
      <c r="A879" s="226"/>
    </row>
    <row r="880" spans="1:1">
      <c r="A880" s="226"/>
    </row>
    <row r="881" spans="1:1">
      <c r="A881" s="226"/>
    </row>
    <row r="882" spans="1:1">
      <c r="A882" s="226"/>
    </row>
    <row r="883" spans="1:1">
      <c r="A883" s="226"/>
    </row>
    <row r="884" spans="1:1">
      <c r="A884" s="226"/>
    </row>
    <row r="885" spans="1:1">
      <c r="A885" s="226"/>
    </row>
    <row r="886" spans="1:1">
      <c r="A886" s="226"/>
    </row>
    <row r="887" spans="1:1">
      <c r="A887" s="226"/>
    </row>
    <row r="888" spans="1:1">
      <c r="A888" s="226"/>
    </row>
    <row r="889" spans="1:1">
      <c r="A889" s="226"/>
    </row>
    <row r="890" spans="1:1">
      <c r="A890" s="226"/>
    </row>
    <row r="891" spans="1:1">
      <c r="A891" s="226"/>
    </row>
    <row r="892" spans="1:1">
      <c r="A892" s="226"/>
    </row>
    <row r="893" spans="1:1">
      <c r="A893" s="226"/>
    </row>
    <row r="894" spans="1:1">
      <c r="A894" s="226"/>
    </row>
    <row r="895" spans="1:1">
      <c r="A895" s="226"/>
    </row>
    <row r="896" spans="1:1">
      <c r="A896" s="226"/>
    </row>
    <row r="897" spans="1:1">
      <c r="A897" s="226"/>
    </row>
    <row r="898" spans="1:1">
      <c r="A898" s="226"/>
    </row>
    <row r="899" spans="1:1">
      <c r="A899" s="226"/>
    </row>
    <row r="900" spans="1:1">
      <c r="A900" s="226"/>
    </row>
    <row r="901" spans="1:1">
      <c r="A901" s="226"/>
    </row>
    <row r="902" spans="1:1">
      <c r="A902" s="226"/>
    </row>
    <row r="903" spans="1:1">
      <c r="A903" s="226"/>
    </row>
    <row r="904" spans="1:1">
      <c r="A904" s="226"/>
    </row>
    <row r="905" spans="1:1">
      <c r="A905" s="226"/>
    </row>
    <row r="906" spans="1:1">
      <c r="A906" s="226"/>
    </row>
    <row r="907" spans="1:1">
      <c r="A907" s="226"/>
    </row>
    <row r="908" spans="1:1">
      <c r="A908" s="226"/>
    </row>
    <row r="909" spans="1:1">
      <c r="A909" s="226"/>
    </row>
    <row r="910" spans="1:1">
      <c r="A910" s="226"/>
    </row>
    <row r="911" spans="1:1">
      <c r="A911" s="226"/>
    </row>
    <row r="912" spans="1:1">
      <c r="A912" s="226"/>
    </row>
    <row r="913" spans="1:1">
      <c r="A913" s="226"/>
    </row>
    <row r="914" spans="1:1">
      <c r="A914" s="226"/>
    </row>
    <row r="915" spans="1:1">
      <c r="A915" s="226"/>
    </row>
    <row r="916" spans="1:1">
      <c r="A916" s="226"/>
    </row>
    <row r="917" spans="1:1">
      <c r="A917" s="226"/>
    </row>
    <row r="918" spans="1:1">
      <c r="A918" s="226"/>
    </row>
    <row r="919" spans="1:1">
      <c r="A919" s="226"/>
    </row>
    <row r="920" spans="1:1">
      <c r="A920" s="226"/>
    </row>
    <row r="921" spans="1:1">
      <c r="A921" s="226"/>
    </row>
    <row r="922" spans="1:1">
      <c r="A922" s="226"/>
    </row>
    <row r="923" spans="1:1">
      <c r="A923" s="226"/>
    </row>
    <row r="924" spans="1:1">
      <c r="A924" s="226"/>
    </row>
    <row r="925" spans="1:1">
      <c r="A925" s="226"/>
    </row>
    <row r="926" spans="1:1">
      <c r="A926" s="226"/>
    </row>
    <row r="927" spans="1:1">
      <c r="A927" s="226"/>
    </row>
    <row r="928" spans="1:1">
      <c r="A928" s="226"/>
    </row>
    <row r="929" spans="1:1">
      <c r="A929" s="226"/>
    </row>
    <row r="930" spans="1:1">
      <c r="A930" s="226"/>
    </row>
    <row r="931" spans="1:1">
      <c r="A931" s="226"/>
    </row>
    <row r="932" spans="1:1">
      <c r="A932" s="226"/>
    </row>
    <row r="933" spans="1:1">
      <c r="A933" s="226"/>
    </row>
    <row r="934" spans="1:1">
      <c r="A934" s="226"/>
    </row>
    <row r="935" spans="1:1">
      <c r="A935" s="226"/>
    </row>
    <row r="936" spans="1:1">
      <c r="A936" s="226"/>
    </row>
    <row r="937" spans="1:1">
      <c r="A937" s="226"/>
    </row>
    <row r="938" spans="1:1">
      <c r="A938" s="226"/>
    </row>
    <row r="939" spans="1:1">
      <c r="A939" s="226"/>
    </row>
    <row r="940" spans="1:1">
      <c r="A940" s="226"/>
    </row>
    <row r="941" spans="1:1">
      <c r="A941" s="226"/>
    </row>
    <row r="942" spans="1:1">
      <c r="A942" s="226"/>
    </row>
    <row r="943" spans="1:1">
      <c r="A943" s="226"/>
    </row>
    <row r="944" spans="1:1">
      <c r="A944" s="226"/>
    </row>
    <row r="945" spans="1:1">
      <c r="A945" s="226"/>
    </row>
    <row r="946" spans="1:1">
      <c r="A946" s="226"/>
    </row>
    <row r="947" spans="1:1">
      <c r="A947" s="226"/>
    </row>
    <row r="948" spans="1:1">
      <c r="A948" s="226"/>
    </row>
    <row r="949" spans="1:1">
      <c r="A949" s="226"/>
    </row>
    <row r="950" spans="1:1">
      <c r="A950" s="226"/>
    </row>
    <row r="951" spans="1:1">
      <c r="A951" s="226"/>
    </row>
    <row r="952" spans="1:1">
      <c r="A952" s="226"/>
    </row>
    <row r="953" spans="1:1">
      <c r="A953" s="226"/>
    </row>
    <row r="954" spans="1:1">
      <c r="A954" s="226"/>
    </row>
    <row r="955" spans="1:1">
      <c r="A955" s="226"/>
    </row>
    <row r="956" spans="1:1">
      <c r="A956" s="226"/>
    </row>
    <row r="957" spans="1:1">
      <c r="A957" s="226"/>
    </row>
    <row r="958" spans="1:1">
      <c r="A958" s="226"/>
    </row>
    <row r="959" spans="1:1">
      <c r="A959" s="226"/>
    </row>
    <row r="960" spans="1:1">
      <c r="A960" s="226"/>
    </row>
    <row r="961" spans="1:1">
      <c r="A961" s="226"/>
    </row>
    <row r="962" spans="1:1">
      <c r="A962" s="226"/>
    </row>
    <row r="963" spans="1:1">
      <c r="A963" s="226"/>
    </row>
    <row r="964" spans="1:1">
      <c r="A964" s="226"/>
    </row>
    <row r="965" spans="1:1">
      <c r="A965" s="226"/>
    </row>
    <row r="966" spans="1:1">
      <c r="A966" s="226"/>
    </row>
    <row r="967" spans="1:1">
      <c r="A967" s="226"/>
    </row>
    <row r="968" spans="1:1">
      <c r="A968" s="226"/>
    </row>
    <row r="969" spans="1:1">
      <c r="A969" s="226"/>
    </row>
    <row r="970" spans="1:1">
      <c r="A970" s="226"/>
    </row>
    <row r="971" spans="1:1">
      <c r="A971" s="226"/>
    </row>
    <row r="972" spans="1:1">
      <c r="A972" s="226"/>
    </row>
    <row r="973" spans="1:1">
      <c r="A973" s="226"/>
    </row>
    <row r="974" spans="1:1">
      <c r="A974" s="226"/>
    </row>
    <row r="975" spans="1:1">
      <c r="A975" s="226"/>
    </row>
    <row r="976" spans="1:1">
      <c r="A976" s="226"/>
    </row>
    <row r="977" spans="1:1">
      <c r="A977" s="226"/>
    </row>
    <row r="978" spans="1:1">
      <c r="A978" s="226"/>
    </row>
    <row r="979" spans="1:1">
      <c r="A979" s="226"/>
    </row>
    <row r="980" spans="1:1">
      <c r="A980" s="226"/>
    </row>
    <row r="981" spans="1:1">
      <c r="A981" s="226"/>
    </row>
    <row r="982" spans="1:1">
      <c r="A982" s="226"/>
    </row>
    <row r="983" spans="1:1">
      <c r="A983" s="226"/>
    </row>
    <row r="984" spans="1:1">
      <c r="A984" s="226"/>
    </row>
    <row r="985" spans="1:1">
      <c r="A985" s="226"/>
    </row>
    <row r="986" spans="1:1">
      <c r="A986" s="226"/>
    </row>
    <row r="987" spans="1:1">
      <c r="A987" s="226"/>
    </row>
    <row r="988" spans="1:1">
      <c r="A988" s="226"/>
    </row>
    <row r="989" spans="1:1">
      <c r="A989" s="226"/>
    </row>
    <row r="990" spans="1:1">
      <c r="A990" s="226"/>
    </row>
    <row r="991" spans="1:1">
      <c r="A991" s="226"/>
    </row>
    <row r="992" spans="1:1">
      <c r="A992" s="226"/>
    </row>
    <row r="993" spans="1:1">
      <c r="A993" s="226"/>
    </row>
    <row r="994" spans="1:1">
      <c r="A994" s="226"/>
    </row>
    <row r="995" spans="1:1">
      <c r="A995" s="226"/>
    </row>
    <row r="996" spans="1:1">
      <c r="A996" s="226"/>
    </row>
    <row r="997" spans="1:1">
      <c r="A997" s="226"/>
    </row>
    <row r="998" spans="1:1">
      <c r="A998" s="226"/>
    </row>
    <row r="999" spans="1:1">
      <c r="A999" s="226"/>
    </row>
    <row r="1000" spans="1:1">
      <c r="A1000" s="226"/>
    </row>
    <row r="1001" spans="1:1">
      <c r="A1001" s="226"/>
    </row>
    <row r="1002" spans="1:1">
      <c r="A1002" s="226"/>
    </row>
    <row r="1003" spans="1:1">
      <c r="A1003" s="226"/>
    </row>
    <row r="1004" spans="1:1">
      <c r="A1004" s="226"/>
    </row>
  </sheetData>
  <mergeCells count="7">
    <mergeCell ref="A27:H27"/>
    <mergeCell ref="A1:H1"/>
    <mergeCell ref="A3:H3"/>
    <mergeCell ref="A5:A7"/>
    <mergeCell ref="H5:H7"/>
    <mergeCell ref="A8:H8"/>
    <mergeCell ref="A2:H2"/>
  </mergeCells>
  <hyperlinks>
    <hyperlink ref="H13" r:id="rId1" xr:uid="{F2796BCF-6F77-427F-8143-228952D8E458}"/>
    <hyperlink ref="A20" r:id="rId2" xr:uid="{E45D05BA-1219-4B13-B486-E05A4C5D509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E67B-C686-44F3-B073-87630BB218F7}">
  <dimension ref="A1:Y1008"/>
  <sheetViews>
    <sheetView topLeftCell="A24" workbookViewId="0">
      <selection activeCell="O11" sqref="O11"/>
    </sheetView>
  </sheetViews>
  <sheetFormatPr defaultColWidth="14.42578125" defaultRowHeight="15"/>
  <cols>
    <col min="1" max="1" width="17.7109375" customWidth="1"/>
    <col min="2" max="5" width="16" customWidth="1"/>
    <col min="6" max="6" width="16" hidden="1" customWidth="1"/>
    <col min="7" max="7" width="17" customWidth="1"/>
    <col min="8" max="8" width="32.5703125" customWidth="1"/>
    <col min="9" max="9" width="8.85546875" customWidth="1"/>
    <col min="10" max="14" width="11.28515625" customWidth="1"/>
    <col min="15" max="25" width="8.85546875" customWidth="1"/>
  </cols>
  <sheetData>
    <row r="1" spans="1:25" ht="24.75" customHeight="1">
      <c r="A1" s="899" t="s">
        <v>658</v>
      </c>
      <c r="B1" s="899"/>
      <c r="C1" s="899"/>
      <c r="D1" s="899"/>
      <c r="E1" s="899"/>
      <c r="F1" s="899"/>
      <c r="G1" s="899"/>
      <c r="H1" s="899"/>
      <c r="I1" s="184"/>
      <c r="J1" s="184"/>
      <c r="K1" s="184"/>
      <c r="L1" s="184"/>
      <c r="M1" s="184"/>
      <c r="N1" s="184"/>
      <c r="O1" s="184"/>
      <c r="P1" s="184"/>
      <c r="Q1" s="184"/>
      <c r="R1" s="184"/>
      <c r="S1" s="184"/>
      <c r="T1" s="184"/>
      <c r="U1" s="184"/>
      <c r="V1" s="184"/>
      <c r="W1" s="184"/>
      <c r="X1" s="184"/>
      <c r="Y1" s="184"/>
    </row>
    <row r="2" spans="1:25">
      <c r="A2" s="904" t="s">
        <v>849</v>
      </c>
      <c r="B2" s="904"/>
      <c r="C2" s="904"/>
      <c r="D2" s="904"/>
      <c r="E2" s="904"/>
      <c r="F2" s="904"/>
      <c r="G2" s="904"/>
      <c r="H2" s="904"/>
      <c r="I2" s="184"/>
      <c r="J2" s="184"/>
      <c r="K2" s="184"/>
      <c r="L2" s="184"/>
      <c r="M2" s="184"/>
      <c r="N2" s="184"/>
      <c r="O2" s="184"/>
      <c r="P2" s="184"/>
      <c r="Q2" s="184"/>
      <c r="R2" s="184"/>
      <c r="S2" s="184"/>
      <c r="T2" s="184"/>
      <c r="U2" s="184"/>
      <c r="V2" s="184"/>
      <c r="W2" s="184"/>
      <c r="X2" s="184"/>
      <c r="Y2" s="184"/>
    </row>
    <row r="3" spans="1:25" ht="27" customHeight="1">
      <c r="A3" s="900" t="s">
        <v>659</v>
      </c>
      <c r="B3" s="900"/>
      <c r="C3" s="900"/>
      <c r="D3" s="900"/>
      <c r="E3" s="900"/>
      <c r="F3" s="900"/>
      <c r="G3" s="900"/>
      <c r="H3" s="900"/>
      <c r="I3" s="184"/>
      <c r="J3" s="184"/>
      <c r="K3" s="184"/>
      <c r="L3" s="184"/>
      <c r="M3" s="184"/>
      <c r="N3" s="184"/>
      <c r="O3" s="184"/>
      <c r="P3" s="184"/>
      <c r="Q3" s="184"/>
      <c r="R3" s="184"/>
      <c r="S3" s="184"/>
      <c r="T3" s="184"/>
      <c r="U3" s="184"/>
      <c r="V3" s="184"/>
      <c r="W3" s="184"/>
      <c r="X3" s="184"/>
      <c r="Y3" s="184"/>
    </row>
    <row r="4" spans="1:25" ht="25.5">
      <c r="A4" s="227" t="s">
        <v>660</v>
      </c>
      <c r="B4" s="227"/>
      <c r="C4" s="228"/>
      <c r="D4" s="228"/>
      <c r="E4" s="228"/>
      <c r="F4" s="228"/>
      <c r="G4" s="227" t="s">
        <v>662</v>
      </c>
      <c r="H4" s="189">
        <v>46094</v>
      </c>
      <c r="I4" s="190"/>
      <c r="J4" s="190"/>
      <c r="K4" s="190"/>
      <c r="L4" s="190"/>
      <c r="M4" s="190"/>
      <c r="N4" s="190"/>
      <c r="O4" s="190"/>
      <c r="P4" s="190"/>
      <c r="Q4" s="190"/>
      <c r="R4" s="190"/>
      <c r="S4" s="190"/>
      <c r="T4" s="190"/>
      <c r="U4" s="190"/>
      <c r="V4" s="190"/>
      <c r="W4" s="190"/>
      <c r="X4" s="190"/>
      <c r="Y4" s="190"/>
    </row>
    <row r="5" spans="1:25">
      <c r="A5" s="892" t="s">
        <v>663</v>
      </c>
      <c r="B5" s="192" t="s">
        <v>665</v>
      </c>
      <c r="C5" s="192" t="s">
        <v>666</v>
      </c>
      <c r="D5" s="192" t="s">
        <v>667</v>
      </c>
      <c r="E5" s="192" t="s">
        <v>668</v>
      </c>
      <c r="F5" s="192" t="s">
        <v>669</v>
      </c>
      <c r="G5" s="192" t="s">
        <v>670</v>
      </c>
      <c r="H5" s="895" t="s">
        <v>671</v>
      </c>
      <c r="I5" s="184"/>
      <c r="J5" s="184"/>
      <c r="K5" s="184"/>
      <c r="L5" s="184"/>
      <c r="M5" s="184"/>
      <c r="N5" s="184"/>
      <c r="O5" s="184"/>
      <c r="P5" s="184"/>
      <c r="Q5" s="184"/>
      <c r="R5" s="184"/>
      <c r="S5" s="184"/>
      <c r="T5" s="184"/>
      <c r="U5" s="184"/>
      <c r="V5" s="184"/>
      <c r="W5" s="184"/>
      <c r="X5" s="184"/>
      <c r="Y5" s="184"/>
    </row>
    <row r="6" spans="1:25">
      <c r="A6" s="893"/>
      <c r="B6" s="193" t="s">
        <v>673</v>
      </c>
      <c r="C6" s="193" t="s">
        <v>674</v>
      </c>
      <c r="D6" s="193" t="s">
        <v>675</v>
      </c>
      <c r="E6" s="193" t="s">
        <v>676</v>
      </c>
      <c r="F6" s="193" t="s">
        <v>673</v>
      </c>
      <c r="G6" s="193" t="s">
        <v>715</v>
      </c>
      <c r="H6" s="893"/>
      <c r="I6" s="184"/>
      <c r="J6" s="229"/>
      <c r="K6" s="229"/>
      <c r="L6" s="229"/>
      <c r="M6" s="229"/>
      <c r="N6" s="230"/>
      <c r="O6" s="184"/>
      <c r="P6" s="184"/>
      <c r="Q6" s="184"/>
      <c r="R6" s="184"/>
      <c r="S6" s="184"/>
      <c r="T6" s="184"/>
      <c r="U6" s="184"/>
      <c r="V6" s="184"/>
      <c r="W6" s="184"/>
      <c r="X6" s="184"/>
      <c r="Y6" s="184"/>
    </row>
    <row r="7" spans="1:25" ht="25.5">
      <c r="A7" s="894"/>
      <c r="B7" s="194" t="s">
        <v>679</v>
      </c>
      <c r="C7" s="194" t="s">
        <v>679</v>
      </c>
      <c r="D7" s="194" t="s">
        <v>679</v>
      </c>
      <c r="E7" s="194" t="s">
        <v>680</v>
      </c>
      <c r="F7" s="194" t="s">
        <v>680</v>
      </c>
      <c r="G7" s="194" t="s">
        <v>679</v>
      </c>
      <c r="H7" s="894"/>
      <c r="I7" s="184"/>
      <c r="J7" s="229"/>
      <c r="K7" s="229"/>
      <c r="L7" s="229"/>
      <c r="M7" s="229"/>
      <c r="N7" s="230"/>
      <c r="O7" s="184"/>
      <c r="P7" s="184"/>
      <c r="Q7" s="184"/>
      <c r="R7" s="184"/>
      <c r="S7" s="184"/>
      <c r="T7" s="184"/>
      <c r="U7" s="184"/>
      <c r="V7" s="184"/>
      <c r="W7" s="184"/>
      <c r="X7" s="184"/>
      <c r="Y7" s="184"/>
    </row>
    <row r="8" spans="1:25">
      <c r="A8" s="901" t="s">
        <v>681</v>
      </c>
      <c r="B8" s="902"/>
      <c r="C8" s="902"/>
      <c r="D8" s="902"/>
      <c r="E8" s="902"/>
      <c r="F8" s="902"/>
      <c r="G8" s="902"/>
      <c r="H8" s="903"/>
      <c r="I8" s="190"/>
      <c r="J8" s="229"/>
      <c r="K8" s="229"/>
      <c r="L8" s="229"/>
      <c r="M8" s="229"/>
      <c r="N8" s="230"/>
      <c r="O8" s="190"/>
      <c r="P8" s="190"/>
      <c r="Q8" s="190"/>
      <c r="R8" s="190"/>
      <c r="S8" s="190"/>
      <c r="T8" s="190"/>
      <c r="U8" s="190"/>
      <c r="V8" s="190"/>
      <c r="W8" s="190"/>
      <c r="X8" s="190"/>
      <c r="Y8" s="190"/>
    </row>
    <row r="9" spans="1:25" ht="26.25">
      <c r="A9" s="231" t="s">
        <v>69</v>
      </c>
      <c r="B9" s="175">
        <v>175000</v>
      </c>
      <c r="C9" s="175">
        <v>175000</v>
      </c>
      <c r="D9" s="175">
        <v>175000</v>
      </c>
      <c r="E9" s="175">
        <v>175000</v>
      </c>
      <c r="F9" s="232"/>
      <c r="G9" s="176">
        <f t="shared" ref="G9:G15" si="0">SUM(B9:F9)</f>
        <v>700000</v>
      </c>
      <c r="H9" s="231" t="s">
        <v>716</v>
      </c>
      <c r="I9" s="190"/>
      <c r="J9" s="229"/>
      <c r="K9" s="229"/>
      <c r="L9" s="229"/>
      <c r="M9" s="229"/>
      <c r="N9" s="230"/>
      <c r="O9" s="190"/>
      <c r="P9" s="190"/>
      <c r="Q9" s="190"/>
      <c r="R9" s="190"/>
      <c r="S9" s="190"/>
      <c r="T9" s="190"/>
      <c r="U9" s="190"/>
      <c r="V9" s="190"/>
      <c r="W9" s="190"/>
      <c r="X9" s="190"/>
      <c r="Y9" s="190"/>
    </row>
    <row r="10" spans="1:25" ht="26.25">
      <c r="A10" s="231" t="s">
        <v>717</v>
      </c>
      <c r="B10" s="175"/>
      <c r="C10" s="175"/>
      <c r="D10" s="175"/>
      <c r="E10" s="175"/>
      <c r="F10" s="232"/>
      <c r="G10" s="176">
        <f t="shared" si="0"/>
        <v>0</v>
      </c>
      <c r="H10" s="231" t="s">
        <v>718</v>
      </c>
      <c r="I10" s="190"/>
      <c r="J10" s="233"/>
      <c r="K10" s="233"/>
      <c r="L10" s="229"/>
      <c r="M10" s="229"/>
      <c r="N10" s="230"/>
      <c r="O10" s="190"/>
      <c r="P10" s="190"/>
      <c r="Q10" s="190"/>
      <c r="R10" s="190"/>
      <c r="S10" s="190"/>
      <c r="T10" s="190"/>
      <c r="U10" s="190"/>
      <c r="V10" s="190"/>
      <c r="W10" s="190"/>
      <c r="X10" s="190"/>
      <c r="Y10" s="190"/>
    </row>
    <row r="11" spans="1:25" ht="39">
      <c r="A11" s="231" t="s">
        <v>104</v>
      </c>
      <c r="B11" s="175"/>
      <c r="C11" s="175"/>
      <c r="D11" s="175"/>
      <c r="E11" s="175">
        <v>30000</v>
      </c>
      <c r="F11" s="232"/>
      <c r="G11" s="176">
        <f t="shared" si="0"/>
        <v>30000</v>
      </c>
      <c r="H11" s="231" t="s">
        <v>719</v>
      </c>
      <c r="I11" s="190"/>
      <c r="J11" s="233"/>
      <c r="K11" s="233"/>
      <c r="L11" s="229"/>
      <c r="M11" s="229"/>
      <c r="N11" s="230"/>
      <c r="O11" s="190"/>
      <c r="P11" s="190"/>
      <c r="Q11" s="190"/>
      <c r="R11" s="190"/>
      <c r="S11" s="190"/>
      <c r="T11" s="190"/>
      <c r="U11" s="190"/>
      <c r="V11" s="190"/>
      <c r="W11" s="190"/>
      <c r="X11" s="190"/>
      <c r="Y11" s="190"/>
    </row>
    <row r="12" spans="1:25" ht="77.25">
      <c r="A12" s="234" t="s">
        <v>105</v>
      </c>
      <c r="B12" s="175"/>
      <c r="C12" s="175">
        <f t="shared" ref="C12:E12" si="1">(1400000*1.18)/4</f>
        <v>413000</v>
      </c>
      <c r="D12" s="175">
        <f t="shared" si="1"/>
        <v>413000</v>
      </c>
      <c r="E12" s="175">
        <f t="shared" si="1"/>
        <v>413000</v>
      </c>
      <c r="F12" s="232"/>
      <c r="G12" s="176">
        <f t="shared" si="0"/>
        <v>1239000</v>
      </c>
      <c r="H12" s="231" t="s">
        <v>720</v>
      </c>
      <c r="I12" s="190"/>
      <c r="J12" s="190"/>
      <c r="K12" s="190"/>
      <c r="L12" s="190"/>
      <c r="M12" s="190"/>
      <c r="N12" s="190"/>
      <c r="O12" s="190"/>
      <c r="P12" s="190"/>
      <c r="Q12" s="190"/>
      <c r="R12" s="190"/>
      <c r="S12" s="190"/>
      <c r="T12" s="190"/>
      <c r="U12" s="190"/>
      <c r="V12" s="190"/>
      <c r="W12" s="190"/>
      <c r="X12" s="190"/>
      <c r="Y12" s="190"/>
    </row>
    <row r="13" spans="1:25" ht="39">
      <c r="A13" s="235" t="s">
        <v>106</v>
      </c>
      <c r="B13" s="183"/>
      <c r="C13" s="183"/>
      <c r="D13" s="175">
        <f t="shared" ref="D13:E13" si="2">(1140*120)/4</f>
        <v>34200</v>
      </c>
      <c r="E13" s="175">
        <f t="shared" si="2"/>
        <v>34200</v>
      </c>
      <c r="F13" s="183"/>
      <c r="G13" s="176">
        <f t="shared" si="0"/>
        <v>68400</v>
      </c>
      <c r="H13" s="236" t="s">
        <v>721</v>
      </c>
      <c r="I13" s="184"/>
      <c r="J13" s="184"/>
      <c r="K13" s="184"/>
      <c r="L13" s="184"/>
      <c r="M13" s="184"/>
      <c r="N13" s="184"/>
      <c r="O13" s="184"/>
      <c r="P13" s="184"/>
      <c r="Q13" s="184"/>
      <c r="R13" s="184"/>
      <c r="S13" s="184"/>
      <c r="T13" s="184"/>
      <c r="U13" s="184"/>
      <c r="V13" s="184"/>
      <c r="W13" s="184"/>
      <c r="X13" s="184"/>
      <c r="Y13" s="184"/>
    </row>
    <row r="14" spans="1:25" ht="39">
      <c r="A14" s="235" t="s">
        <v>107</v>
      </c>
      <c r="B14" s="183"/>
      <c r="C14" s="183"/>
      <c r="D14" s="175">
        <f t="shared" ref="D14:E14" si="3">(1318*500)/4</f>
        <v>164750</v>
      </c>
      <c r="E14" s="175">
        <f t="shared" si="3"/>
        <v>164750</v>
      </c>
      <c r="F14" s="183"/>
      <c r="G14" s="176">
        <f t="shared" si="0"/>
        <v>329500</v>
      </c>
      <c r="H14" s="236" t="s">
        <v>722</v>
      </c>
      <c r="I14" s="184"/>
      <c r="J14" s="237" t="s">
        <v>723</v>
      </c>
      <c r="K14" s="184"/>
      <c r="L14" s="184"/>
      <c r="M14" s="184"/>
      <c r="N14" s="184"/>
      <c r="O14" s="184"/>
      <c r="P14" s="184"/>
      <c r="Q14" s="184"/>
      <c r="R14" s="184"/>
      <c r="S14" s="184"/>
      <c r="T14" s="184"/>
      <c r="U14" s="184"/>
      <c r="V14" s="184"/>
      <c r="W14" s="184"/>
      <c r="X14" s="184"/>
      <c r="Y14" s="184"/>
    </row>
    <row r="15" spans="1:25">
      <c r="A15" s="238"/>
      <c r="B15" s="183"/>
      <c r="C15" s="183"/>
      <c r="D15" s="183"/>
      <c r="E15" s="183"/>
      <c r="F15" s="183"/>
      <c r="G15" s="176">
        <f t="shared" si="0"/>
        <v>0</v>
      </c>
      <c r="H15" s="239"/>
      <c r="I15" s="184"/>
      <c r="J15" s="184">
        <v>1.75</v>
      </c>
      <c r="K15" s="184">
        <v>1.75</v>
      </c>
      <c r="L15" s="184">
        <v>1.75</v>
      </c>
      <c r="M15" s="184">
        <v>1.75</v>
      </c>
      <c r="N15" s="184">
        <f>SUM(J15:M15)</f>
        <v>7</v>
      </c>
      <c r="O15" s="184"/>
      <c r="P15" s="184"/>
      <c r="Q15" s="184"/>
      <c r="R15" s="184"/>
      <c r="S15" s="184"/>
      <c r="T15" s="184"/>
      <c r="U15" s="184"/>
      <c r="V15" s="184"/>
      <c r="W15" s="184"/>
      <c r="X15" s="184"/>
      <c r="Y15" s="184"/>
    </row>
    <row r="16" spans="1:25">
      <c r="A16" s="240" t="s">
        <v>705</v>
      </c>
      <c r="B16" s="241"/>
      <c r="C16" s="241"/>
      <c r="D16" s="241"/>
      <c r="E16" s="241"/>
      <c r="F16" s="241"/>
      <c r="G16" s="207">
        <f>SUM(G9:G15)</f>
        <v>2366900</v>
      </c>
      <c r="H16" s="242"/>
      <c r="I16" s="184"/>
      <c r="J16" s="184"/>
      <c r="K16" s="184"/>
      <c r="L16" s="184"/>
      <c r="M16" s="184">
        <v>0.3</v>
      </c>
      <c r="N16" s="184"/>
      <c r="O16" s="184"/>
      <c r="P16" s="184"/>
      <c r="Q16" s="184"/>
      <c r="R16" s="184"/>
      <c r="S16" s="184"/>
      <c r="T16" s="184"/>
      <c r="U16" s="184"/>
      <c r="V16" s="184"/>
      <c r="W16" s="184"/>
      <c r="X16" s="184"/>
      <c r="Y16" s="184"/>
    </row>
    <row r="17" spans="1:25">
      <c r="A17" s="896" t="s">
        <v>706</v>
      </c>
      <c r="B17" s="897"/>
      <c r="C17" s="897"/>
      <c r="D17" s="897"/>
      <c r="E17" s="897"/>
      <c r="F17" s="897"/>
      <c r="G17" s="897"/>
      <c r="H17" s="898"/>
      <c r="I17" s="190"/>
      <c r="J17" s="190"/>
      <c r="K17" s="190">
        <v>4.13</v>
      </c>
      <c r="L17" s="190">
        <v>4.13</v>
      </c>
      <c r="M17" s="190">
        <v>4.13</v>
      </c>
      <c r="N17" s="190">
        <f>SUM(K17:M17)</f>
        <v>12.39</v>
      </c>
      <c r="O17" s="190"/>
      <c r="P17" s="190"/>
      <c r="Q17" s="190"/>
      <c r="R17" s="190"/>
      <c r="S17" s="190"/>
      <c r="T17" s="190"/>
      <c r="U17" s="190"/>
      <c r="V17" s="190"/>
      <c r="W17" s="190"/>
      <c r="X17" s="190"/>
      <c r="Y17" s="190"/>
    </row>
    <row r="18" spans="1:25" ht="26.25">
      <c r="A18" s="243" t="s">
        <v>108</v>
      </c>
      <c r="B18" s="175">
        <f t="shared" ref="B18:C18" si="4">(800*47000)/2</f>
        <v>18800000</v>
      </c>
      <c r="C18" s="175">
        <f t="shared" si="4"/>
        <v>18800000</v>
      </c>
      <c r="D18" s="232"/>
      <c r="E18" s="244"/>
      <c r="F18" s="245"/>
      <c r="G18" s="176">
        <f t="shared" ref="G18:G28" si="5">SUM(B18:F18)</f>
        <v>37600000</v>
      </c>
      <c r="H18" s="231" t="s">
        <v>724</v>
      </c>
      <c r="I18" s="184"/>
      <c r="J18" s="184"/>
      <c r="K18" s="184"/>
      <c r="L18" s="184">
        <v>0.34200000000000003</v>
      </c>
      <c r="M18" s="184">
        <v>0.34200000000000003</v>
      </c>
      <c r="N18" s="184">
        <f>SUM(L18:M18)</f>
        <v>0.68400000000000005</v>
      </c>
      <c r="O18" s="184"/>
      <c r="P18" s="184"/>
      <c r="Q18" s="184"/>
      <c r="R18" s="184"/>
      <c r="S18" s="184"/>
      <c r="T18" s="184"/>
      <c r="U18" s="184"/>
      <c r="V18" s="184"/>
      <c r="W18" s="184"/>
      <c r="X18" s="184"/>
      <c r="Y18" s="184"/>
    </row>
    <row r="19" spans="1:25" ht="26.25">
      <c r="A19" s="246" t="s">
        <v>109</v>
      </c>
      <c r="B19" s="175">
        <f t="shared" ref="B19:C19" si="6">(60000*10+30000*10+30000*10+130000*2)/2</f>
        <v>730000</v>
      </c>
      <c r="C19" s="175">
        <f t="shared" si="6"/>
        <v>730000</v>
      </c>
      <c r="D19" s="232"/>
      <c r="E19" s="247"/>
      <c r="F19" s="248"/>
      <c r="G19" s="176">
        <f t="shared" si="5"/>
        <v>1460000</v>
      </c>
      <c r="H19" s="236" t="s">
        <v>725</v>
      </c>
      <c r="I19" s="184"/>
      <c r="J19" s="184"/>
      <c r="K19" s="184"/>
      <c r="L19" s="184">
        <v>1.65</v>
      </c>
      <c r="M19" s="184">
        <v>1.65</v>
      </c>
      <c r="N19" s="184">
        <f>SUM(L19:M19)</f>
        <v>3.3</v>
      </c>
      <c r="O19" s="184"/>
      <c r="P19" s="184"/>
      <c r="Q19" s="184"/>
      <c r="R19" s="184"/>
      <c r="S19" s="184"/>
      <c r="T19" s="184"/>
      <c r="U19" s="184"/>
      <c r="V19" s="184"/>
      <c r="W19" s="184"/>
      <c r="X19" s="184"/>
      <c r="Y19" s="184"/>
    </row>
    <row r="20" spans="1:25" ht="26.25">
      <c r="A20" s="246" t="s">
        <v>110</v>
      </c>
      <c r="B20" s="175">
        <f t="shared" ref="B20:C20" si="7">500000</f>
        <v>500000</v>
      </c>
      <c r="C20" s="175">
        <f t="shared" si="7"/>
        <v>500000</v>
      </c>
      <c r="D20" s="232"/>
      <c r="E20" s="244"/>
      <c r="F20" s="245"/>
      <c r="G20" s="176">
        <f t="shared" si="5"/>
        <v>1000000</v>
      </c>
      <c r="H20" s="231" t="s">
        <v>726</v>
      </c>
      <c r="I20" s="184"/>
      <c r="J20" s="184"/>
      <c r="K20" s="184"/>
      <c r="L20" s="184"/>
      <c r="M20" s="184"/>
      <c r="N20" s="184"/>
      <c r="O20" s="184"/>
      <c r="P20" s="184"/>
      <c r="Q20" s="184"/>
      <c r="R20" s="184"/>
      <c r="S20" s="184"/>
      <c r="T20" s="184"/>
      <c r="U20" s="184"/>
      <c r="V20" s="184"/>
      <c r="W20" s="184"/>
      <c r="X20" s="184"/>
      <c r="Y20" s="184"/>
    </row>
    <row r="21" spans="1:25" ht="51.75">
      <c r="A21" s="231" t="s">
        <v>111</v>
      </c>
      <c r="B21" s="232">
        <f t="shared" ref="B21:C21" si="8">((40*28000)+1200000)/2</f>
        <v>1160000</v>
      </c>
      <c r="C21" s="232">
        <f t="shared" si="8"/>
        <v>1160000</v>
      </c>
      <c r="D21" s="232"/>
      <c r="E21" s="232"/>
      <c r="F21" s="245"/>
      <c r="G21" s="176">
        <f t="shared" si="5"/>
        <v>2320000</v>
      </c>
      <c r="H21" s="236" t="s">
        <v>727</v>
      </c>
      <c r="I21" s="184"/>
      <c r="J21" s="184"/>
      <c r="K21" s="184"/>
      <c r="L21" s="184"/>
      <c r="M21" s="184"/>
      <c r="N21" s="184"/>
      <c r="O21" s="184"/>
      <c r="P21" s="184"/>
      <c r="Q21" s="184"/>
      <c r="R21" s="184"/>
      <c r="S21" s="184"/>
      <c r="T21" s="184"/>
      <c r="U21" s="184"/>
      <c r="V21" s="184"/>
      <c r="W21" s="184"/>
      <c r="X21" s="184"/>
      <c r="Y21" s="184"/>
    </row>
    <row r="22" spans="1:25" ht="26.25">
      <c r="A22" s="231" t="s">
        <v>112</v>
      </c>
      <c r="B22" s="175">
        <f t="shared" ref="B22:C22" si="9">1000000/2</f>
        <v>500000</v>
      </c>
      <c r="C22" s="175">
        <f t="shared" si="9"/>
        <v>500000</v>
      </c>
      <c r="D22" s="232"/>
      <c r="E22" s="232"/>
      <c r="F22" s="245"/>
      <c r="G22" s="176">
        <f t="shared" si="5"/>
        <v>1000000</v>
      </c>
      <c r="H22" s="236" t="s">
        <v>728</v>
      </c>
      <c r="I22" s="184"/>
      <c r="J22" s="184"/>
      <c r="K22" s="184"/>
      <c r="L22" s="184"/>
      <c r="M22" s="184"/>
      <c r="N22" s="184"/>
      <c r="O22" s="184"/>
      <c r="P22" s="184"/>
      <c r="Q22" s="184"/>
      <c r="R22" s="184"/>
      <c r="S22" s="184"/>
      <c r="T22" s="184"/>
      <c r="U22" s="184"/>
      <c r="V22" s="184"/>
      <c r="W22" s="184"/>
      <c r="X22" s="184"/>
      <c r="Y22" s="184"/>
    </row>
    <row r="23" spans="1:25">
      <c r="A23" s="249" t="s">
        <v>113</v>
      </c>
      <c r="B23" s="175"/>
      <c r="C23" s="175">
        <f>30000*8+200000</f>
        <v>440000</v>
      </c>
      <c r="D23" s="232"/>
      <c r="E23" s="232"/>
      <c r="F23" s="245"/>
      <c r="G23" s="176">
        <f t="shared" si="5"/>
        <v>440000</v>
      </c>
      <c r="H23" s="236" t="s">
        <v>729</v>
      </c>
      <c r="I23" s="184"/>
      <c r="J23" s="184"/>
      <c r="K23" s="184"/>
      <c r="L23" s="184"/>
      <c r="M23" s="184"/>
      <c r="N23" s="184"/>
      <c r="O23" s="184"/>
      <c r="P23" s="184"/>
      <c r="Q23" s="184"/>
      <c r="R23" s="184"/>
      <c r="S23" s="184"/>
      <c r="T23" s="184"/>
      <c r="U23" s="184"/>
      <c r="V23" s="184"/>
      <c r="W23" s="184"/>
      <c r="X23" s="184"/>
      <c r="Y23" s="184"/>
    </row>
    <row r="24" spans="1:25" ht="39">
      <c r="A24" s="249" t="s">
        <v>114</v>
      </c>
      <c r="B24" s="175">
        <f t="shared" ref="B24:C24" si="10">13000000/2</f>
        <v>6500000</v>
      </c>
      <c r="C24" s="175">
        <f t="shared" si="10"/>
        <v>6500000</v>
      </c>
      <c r="D24" s="232"/>
      <c r="E24" s="232"/>
      <c r="F24" s="245"/>
      <c r="G24" s="176">
        <f t="shared" si="5"/>
        <v>13000000</v>
      </c>
      <c r="H24" s="236" t="s">
        <v>730</v>
      </c>
      <c r="I24" s="184"/>
      <c r="J24" s="184"/>
      <c r="K24" s="184"/>
      <c r="L24" s="184"/>
      <c r="M24" s="184"/>
      <c r="N24" s="184"/>
      <c r="O24" s="184"/>
      <c r="P24" s="184"/>
      <c r="Q24" s="184"/>
      <c r="R24" s="184"/>
      <c r="S24" s="184"/>
      <c r="T24" s="184"/>
      <c r="U24" s="184"/>
      <c r="V24" s="184"/>
      <c r="W24" s="184"/>
      <c r="X24" s="184"/>
      <c r="Y24" s="184"/>
    </row>
    <row r="25" spans="1:25" ht="39">
      <c r="A25" s="249" t="s">
        <v>115</v>
      </c>
      <c r="B25" s="175">
        <f>40000*2</f>
        <v>80000</v>
      </c>
      <c r="C25" s="232"/>
      <c r="D25" s="232"/>
      <c r="E25" s="232"/>
      <c r="F25" s="245"/>
      <c r="G25" s="176">
        <f t="shared" si="5"/>
        <v>80000</v>
      </c>
      <c r="H25" s="236" t="s">
        <v>731</v>
      </c>
      <c r="I25" s="184"/>
      <c r="J25" s="184"/>
      <c r="K25" s="184"/>
      <c r="L25" s="184"/>
      <c r="M25" s="184"/>
      <c r="N25" s="184"/>
      <c r="O25" s="184"/>
      <c r="P25" s="184"/>
      <c r="Q25" s="184"/>
      <c r="R25" s="184"/>
      <c r="S25" s="184"/>
      <c r="T25" s="184"/>
      <c r="U25" s="184"/>
      <c r="V25" s="184"/>
      <c r="W25" s="184"/>
      <c r="X25" s="184"/>
      <c r="Y25" s="184"/>
    </row>
    <row r="26" spans="1:25" ht="51.75">
      <c r="A26" s="231" t="s">
        <v>116</v>
      </c>
      <c r="B26" s="175">
        <f t="shared" ref="B26:C26" si="11">15000000/2</f>
        <v>7500000</v>
      </c>
      <c r="C26" s="175">
        <f t="shared" si="11"/>
        <v>7500000</v>
      </c>
      <c r="D26" s="232"/>
      <c r="E26" s="232"/>
      <c r="F26" s="245"/>
      <c r="G26" s="176">
        <f t="shared" si="5"/>
        <v>15000000</v>
      </c>
      <c r="H26" s="236" t="s">
        <v>732</v>
      </c>
      <c r="I26" s="184"/>
      <c r="J26" s="184"/>
      <c r="K26" s="184"/>
      <c r="L26" s="184"/>
      <c r="M26" s="184"/>
      <c r="N26" s="184"/>
      <c r="O26" s="184"/>
      <c r="P26" s="184"/>
      <c r="Q26" s="184"/>
      <c r="R26" s="184"/>
      <c r="S26" s="184"/>
      <c r="T26" s="184"/>
      <c r="U26" s="184"/>
      <c r="V26" s="184"/>
      <c r="W26" s="184"/>
      <c r="X26" s="184"/>
      <c r="Y26" s="184"/>
    </row>
    <row r="27" spans="1:25" ht="26.25">
      <c r="A27" s="231" t="s">
        <v>117</v>
      </c>
      <c r="B27" s="175"/>
      <c r="C27" s="175">
        <f t="shared" ref="C27:D27" si="12">(81000*120)/2</f>
        <v>4860000</v>
      </c>
      <c r="D27" s="175">
        <f t="shared" si="12"/>
        <v>4860000</v>
      </c>
      <c r="E27" s="232"/>
      <c r="F27" s="245"/>
      <c r="G27" s="176">
        <f t="shared" si="5"/>
        <v>9720000</v>
      </c>
      <c r="H27" s="236" t="s">
        <v>733</v>
      </c>
      <c r="I27" s="184"/>
      <c r="J27" s="184"/>
      <c r="K27" s="184"/>
      <c r="L27" s="184"/>
      <c r="M27" s="184"/>
      <c r="N27" s="184"/>
      <c r="O27" s="184"/>
      <c r="P27" s="184"/>
      <c r="Q27" s="184"/>
      <c r="R27" s="184"/>
      <c r="S27" s="184"/>
      <c r="T27" s="184"/>
      <c r="U27" s="184"/>
      <c r="V27" s="184"/>
      <c r="W27" s="184"/>
      <c r="X27" s="184"/>
      <c r="Y27" s="184"/>
    </row>
    <row r="28" spans="1:25">
      <c r="A28" s="231"/>
      <c r="B28" s="175"/>
      <c r="C28" s="232"/>
      <c r="D28" s="232"/>
      <c r="E28" s="232"/>
      <c r="F28" s="245"/>
      <c r="G28" s="176">
        <f t="shared" si="5"/>
        <v>0</v>
      </c>
      <c r="H28" s="236"/>
      <c r="I28" s="184"/>
      <c r="J28" s="184"/>
      <c r="K28" s="184"/>
      <c r="L28" s="184"/>
      <c r="M28" s="184"/>
      <c r="N28" s="184"/>
      <c r="O28" s="184"/>
      <c r="P28" s="184"/>
      <c r="Q28" s="184"/>
      <c r="R28" s="184"/>
      <c r="S28" s="184"/>
      <c r="T28" s="184"/>
      <c r="U28" s="184"/>
      <c r="V28" s="184"/>
      <c r="W28" s="184"/>
      <c r="X28" s="184"/>
      <c r="Y28" s="184"/>
    </row>
    <row r="29" spans="1:25">
      <c r="A29" s="240" t="s">
        <v>711</v>
      </c>
      <c r="B29" s="241"/>
      <c r="C29" s="241"/>
      <c r="D29" s="241"/>
      <c r="E29" s="241"/>
      <c r="F29" s="241"/>
      <c r="G29" s="250">
        <f>SUM(G18:G28)</f>
        <v>81620000</v>
      </c>
      <c r="H29" s="242"/>
      <c r="I29" s="184"/>
      <c r="J29" s="184"/>
      <c r="K29" s="184"/>
      <c r="L29" s="184"/>
      <c r="M29" s="184"/>
      <c r="N29" s="184"/>
      <c r="O29" s="184"/>
      <c r="P29" s="184"/>
      <c r="Q29" s="184"/>
      <c r="R29" s="184"/>
      <c r="S29" s="184"/>
      <c r="T29" s="184"/>
      <c r="U29" s="184"/>
      <c r="V29" s="184"/>
      <c r="W29" s="184"/>
      <c r="X29" s="184"/>
      <c r="Y29" s="184"/>
    </row>
    <row r="30" spans="1:25">
      <c r="A30" s="251"/>
      <c r="B30" s="253"/>
      <c r="C30" s="253"/>
      <c r="D30" s="253"/>
      <c r="E30" s="253"/>
      <c r="F30" s="253"/>
      <c r="G30" s="252"/>
      <c r="H30" s="254"/>
      <c r="I30" s="212"/>
      <c r="J30" s="212"/>
      <c r="K30" s="212"/>
      <c r="L30" s="212"/>
      <c r="M30" s="212"/>
      <c r="N30" s="212"/>
      <c r="O30" s="212"/>
      <c r="P30" s="212"/>
      <c r="Q30" s="212"/>
      <c r="R30" s="212"/>
      <c r="S30" s="212"/>
      <c r="T30" s="212"/>
      <c r="U30" s="212"/>
      <c r="V30" s="212"/>
      <c r="W30" s="212"/>
      <c r="X30" s="212"/>
      <c r="Y30" s="212"/>
    </row>
    <row r="31" spans="1:25">
      <c r="A31" s="255" t="s">
        <v>712</v>
      </c>
      <c r="B31" s="257"/>
      <c r="C31" s="257"/>
      <c r="D31" s="257"/>
      <c r="E31" s="257"/>
      <c r="F31" s="257"/>
      <c r="G31" s="256">
        <f>SUM(G16+G29)</f>
        <v>83986900</v>
      </c>
      <c r="H31" s="258"/>
      <c r="I31" s="190"/>
      <c r="J31" s="190"/>
      <c r="K31" s="190"/>
      <c r="L31" s="190"/>
      <c r="M31" s="190"/>
      <c r="N31" s="190"/>
      <c r="O31" s="190"/>
      <c r="P31" s="190"/>
      <c r="Q31" s="190"/>
      <c r="R31" s="190"/>
      <c r="S31" s="190"/>
      <c r="T31" s="190"/>
      <c r="U31" s="190"/>
      <c r="V31" s="190"/>
      <c r="W31" s="190"/>
      <c r="X31" s="190"/>
      <c r="Y31" s="190"/>
    </row>
    <row r="32" spans="1:25">
      <c r="A32" s="184"/>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row>
    <row r="33" spans="1:25">
      <c r="A33" s="184"/>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row>
    <row r="34" spans="1:25">
      <c r="A34" s="184"/>
      <c r="B34" s="184"/>
      <c r="C34" s="184"/>
      <c r="D34" s="184"/>
      <c r="E34" s="184"/>
      <c r="F34" s="184"/>
      <c r="G34" s="184"/>
      <c r="H34" s="184"/>
      <c r="I34" s="184"/>
      <c r="J34" s="184"/>
      <c r="K34" s="184"/>
      <c r="L34" s="184"/>
      <c r="M34" s="184"/>
      <c r="N34" s="184"/>
      <c r="O34" s="184"/>
      <c r="P34" s="184"/>
      <c r="Q34" s="184"/>
      <c r="R34" s="184"/>
      <c r="S34" s="184"/>
      <c r="T34" s="184"/>
      <c r="U34" s="184"/>
      <c r="V34" s="184"/>
      <c r="W34" s="184"/>
      <c r="X34" s="184"/>
      <c r="Y34" s="184"/>
    </row>
    <row r="35" spans="1:25">
      <c r="A35" s="184"/>
      <c r="B35" s="184"/>
      <c r="C35" s="184"/>
      <c r="D35" s="184"/>
      <c r="E35" s="184"/>
      <c r="F35" s="184"/>
      <c r="G35" s="184"/>
      <c r="H35" s="224" t="s">
        <v>713</v>
      </c>
      <c r="I35" s="184"/>
      <c r="J35" s="184"/>
      <c r="K35" s="184"/>
      <c r="L35" s="184"/>
      <c r="M35" s="184"/>
      <c r="N35" s="184"/>
      <c r="O35" s="184"/>
      <c r="P35" s="184"/>
      <c r="Q35" s="184"/>
      <c r="R35" s="184"/>
      <c r="S35" s="184"/>
      <c r="T35" s="184"/>
      <c r="U35" s="184"/>
      <c r="V35" s="184"/>
      <c r="W35" s="184"/>
      <c r="X35" s="184"/>
      <c r="Y35" s="184"/>
    </row>
    <row r="36" spans="1:25">
      <c r="A36" s="184"/>
      <c r="B36" s="184"/>
      <c r="C36" s="184"/>
      <c r="D36" s="184"/>
      <c r="E36" s="184"/>
      <c r="F36" s="184"/>
      <c r="G36" s="184"/>
      <c r="H36" s="184"/>
      <c r="I36" s="184"/>
      <c r="J36" s="184"/>
      <c r="K36" s="184"/>
      <c r="L36" s="184"/>
      <c r="M36" s="184"/>
      <c r="N36" s="184"/>
      <c r="O36" s="184"/>
      <c r="P36" s="184"/>
      <c r="Q36" s="184"/>
      <c r="R36" s="184"/>
      <c r="S36" s="184"/>
      <c r="T36" s="184"/>
      <c r="U36" s="184"/>
      <c r="V36" s="184"/>
      <c r="W36" s="184"/>
      <c r="X36" s="184"/>
      <c r="Y36" s="184"/>
    </row>
    <row r="37" spans="1:25">
      <c r="A37" s="259" t="s">
        <v>734</v>
      </c>
      <c r="B37" s="184"/>
      <c r="C37" s="184"/>
      <c r="D37" s="184"/>
      <c r="E37" s="184"/>
      <c r="F37" s="184"/>
      <c r="G37" s="184"/>
      <c r="H37" s="184"/>
      <c r="I37" s="184"/>
      <c r="J37" s="184"/>
      <c r="K37" s="184"/>
      <c r="L37" s="184"/>
      <c r="M37" s="184"/>
      <c r="N37" s="184"/>
      <c r="O37" s="184"/>
      <c r="P37" s="184"/>
      <c r="Q37" s="184"/>
      <c r="R37" s="184"/>
      <c r="S37" s="184"/>
      <c r="T37" s="184"/>
      <c r="U37" s="184"/>
      <c r="V37" s="184"/>
      <c r="W37" s="184"/>
      <c r="X37" s="184"/>
      <c r="Y37" s="184"/>
    </row>
    <row r="38" spans="1:25">
      <c r="A38" s="184"/>
      <c r="B38" s="184"/>
      <c r="C38" s="184"/>
      <c r="D38" s="184"/>
      <c r="E38" s="184"/>
      <c r="F38" s="184"/>
      <c r="G38" s="184"/>
      <c r="H38" s="184"/>
      <c r="I38" s="184"/>
      <c r="J38" s="184"/>
      <c r="K38" s="184"/>
      <c r="L38" s="184"/>
      <c r="M38" s="184"/>
      <c r="N38" s="184"/>
      <c r="O38" s="184"/>
      <c r="P38" s="184"/>
      <c r="Q38" s="184"/>
      <c r="R38" s="184"/>
      <c r="S38" s="184"/>
      <c r="T38" s="184"/>
      <c r="U38" s="184"/>
      <c r="V38" s="184"/>
      <c r="W38" s="184"/>
      <c r="X38" s="184"/>
      <c r="Y38" s="184"/>
    </row>
    <row r="39" spans="1:25">
      <c r="A39" s="184"/>
      <c r="B39" s="184"/>
      <c r="C39" s="184"/>
      <c r="D39" s="184"/>
      <c r="E39" s="184"/>
      <c r="F39" s="184"/>
      <c r="G39" s="184"/>
      <c r="H39" s="184"/>
      <c r="I39" s="184"/>
      <c r="J39" s="184"/>
      <c r="K39" s="184"/>
      <c r="L39" s="184"/>
      <c r="M39" s="184"/>
      <c r="N39" s="184"/>
      <c r="O39" s="184"/>
      <c r="P39" s="184"/>
      <c r="Q39" s="184"/>
      <c r="R39" s="184"/>
      <c r="S39" s="184"/>
      <c r="T39" s="184"/>
      <c r="U39" s="184"/>
      <c r="V39" s="184"/>
      <c r="W39" s="184"/>
      <c r="X39" s="184"/>
      <c r="Y39" s="184"/>
    </row>
    <row r="40" spans="1:25">
      <c r="A40" s="184"/>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row>
    <row r="41" spans="1:25">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row>
    <row r="42" spans="1:25">
      <c r="A42" s="184"/>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row>
    <row r="43" spans="1:25">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row>
    <row r="44" spans="1:25">
      <c r="A44" s="184"/>
      <c r="B44" s="184"/>
      <c r="C44" s="184"/>
      <c r="D44" s="184"/>
      <c r="E44" s="184"/>
      <c r="F44" s="184"/>
      <c r="G44" s="184"/>
      <c r="H44" s="184"/>
      <c r="I44" s="184"/>
      <c r="J44" s="184"/>
      <c r="K44" s="184"/>
      <c r="L44" s="184"/>
      <c r="M44" s="184"/>
      <c r="N44" s="184"/>
      <c r="O44" s="184"/>
      <c r="P44" s="184"/>
      <c r="Q44" s="184"/>
      <c r="R44" s="184"/>
      <c r="S44" s="184"/>
      <c r="T44" s="184"/>
      <c r="U44" s="184"/>
      <c r="V44" s="184"/>
      <c r="W44" s="184"/>
      <c r="X44" s="184"/>
      <c r="Y44" s="184"/>
    </row>
    <row r="45" spans="1:25">
      <c r="A45" s="184"/>
      <c r="B45" s="184"/>
      <c r="C45" s="184"/>
      <c r="D45" s="184"/>
      <c r="E45" s="184"/>
      <c r="F45" s="184"/>
      <c r="G45" s="184"/>
      <c r="H45" s="184"/>
      <c r="I45" s="184"/>
      <c r="J45" s="184"/>
      <c r="K45" s="184"/>
      <c r="L45" s="184"/>
      <c r="M45" s="184"/>
      <c r="N45" s="184"/>
      <c r="O45" s="184"/>
      <c r="P45" s="184"/>
      <c r="Q45" s="184"/>
      <c r="R45" s="184"/>
      <c r="S45" s="184"/>
      <c r="T45" s="184"/>
      <c r="U45" s="184"/>
      <c r="V45" s="184"/>
      <c r="W45" s="184"/>
      <c r="X45" s="184"/>
      <c r="Y45" s="184"/>
    </row>
    <row r="46" spans="1:25">
      <c r="A46" s="184"/>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row>
    <row r="47" spans="1:25">
      <c r="A47" s="184"/>
      <c r="B47" s="184"/>
      <c r="C47" s="184"/>
      <c r="D47" s="184"/>
      <c r="E47" s="184"/>
      <c r="F47" s="184"/>
      <c r="G47" s="184"/>
      <c r="H47" s="184"/>
      <c r="I47" s="184"/>
      <c r="J47" s="184"/>
      <c r="K47" s="184"/>
      <c r="L47" s="184"/>
      <c r="M47" s="184"/>
      <c r="N47" s="184"/>
      <c r="O47" s="184"/>
      <c r="P47" s="184"/>
      <c r="Q47" s="184"/>
      <c r="R47" s="184"/>
      <c r="S47" s="184"/>
      <c r="T47" s="184"/>
      <c r="U47" s="184"/>
      <c r="V47" s="184"/>
      <c r="W47" s="184"/>
      <c r="X47" s="184"/>
      <c r="Y47" s="184"/>
    </row>
    <row r="48" spans="1:25">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row>
    <row r="49" spans="1:25">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row>
    <row r="50" spans="1:25">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row>
    <row r="51" spans="1:25">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row>
    <row r="52" spans="1:25">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row>
    <row r="53" spans="1:25">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row>
    <row r="54" spans="1:25">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row>
    <row r="55" spans="1:25">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row>
    <row r="56" spans="1:25">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row>
    <row r="57" spans="1:25">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row>
    <row r="58" spans="1:25">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row>
    <row r="59" spans="1:25">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row>
    <row r="60" spans="1:25">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row>
    <row r="61" spans="1:25">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row>
    <row r="62" spans="1:25">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row>
    <row r="63" spans="1:25">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row>
    <row r="64" spans="1:25">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row>
    <row r="65" spans="1:25">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row>
    <row r="66" spans="1:25">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row>
    <row r="67" spans="1:25">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row>
    <row r="68" spans="1:25">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row>
    <row r="69" spans="1:25">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row>
    <row r="70" spans="1:25">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row>
    <row r="71" spans="1:25">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row>
    <row r="72" spans="1:25">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row>
    <row r="73" spans="1:25">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row>
    <row r="74" spans="1:25">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row>
    <row r="75" spans="1:25">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row>
    <row r="76" spans="1:25">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row>
    <row r="77" spans="1:25">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row>
    <row r="78" spans="1:25">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row>
    <row r="79" spans="1:25">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row>
    <row r="80" spans="1:25">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row>
    <row r="81" spans="1:25">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row>
    <row r="82" spans="1:25">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row>
    <row r="83" spans="1:25">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row>
    <row r="84" spans="1:25">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row>
    <row r="85" spans="1:25">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row>
    <row r="86" spans="1:25">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row>
    <row r="87" spans="1:25">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row>
    <row r="88" spans="1:25">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row>
    <row r="89" spans="1:25">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row>
    <row r="90" spans="1:25">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row>
    <row r="91" spans="1:25">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row>
    <row r="92" spans="1:25">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row>
    <row r="93" spans="1:25">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row>
    <row r="94" spans="1:25">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row>
    <row r="95" spans="1:25">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row>
    <row r="96" spans="1:25">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row>
    <row r="97" spans="1:25">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row>
    <row r="98" spans="1:25">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row>
    <row r="99" spans="1:25">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row>
    <row r="100" spans="1:25">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row>
    <row r="101" spans="1:25">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row>
    <row r="102" spans="1:25">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row>
    <row r="103" spans="1:25">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row>
    <row r="104" spans="1:25">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row>
    <row r="105" spans="1:25">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row>
    <row r="106" spans="1:25">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row>
    <row r="107" spans="1:25">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row>
    <row r="108" spans="1:25">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row>
    <row r="109" spans="1:25">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row>
    <row r="110" spans="1:25">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row>
    <row r="111" spans="1:25">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row>
    <row r="112" spans="1:25">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row>
    <row r="113" spans="1:25">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row>
    <row r="114" spans="1:25">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row>
    <row r="115" spans="1:25">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row>
    <row r="116" spans="1:25">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row>
    <row r="117" spans="1:25">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row>
    <row r="118" spans="1:25">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row>
    <row r="119" spans="1:25">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row>
    <row r="120" spans="1:25">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row>
    <row r="121" spans="1:25">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row>
    <row r="122" spans="1:25">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row>
    <row r="123" spans="1:25">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row>
    <row r="124" spans="1:25">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row>
    <row r="125" spans="1:25">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row>
    <row r="126" spans="1:25">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row>
    <row r="127" spans="1:25">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row>
    <row r="128" spans="1:25">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row>
    <row r="129" spans="1:25">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row>
    <row r="130" spans="1:25">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row>
    <row r="131" spans="1:25">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row>
    <row r="132" spans="1:25">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row>
    <row r="133" spans="1:25">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row>
    <row r="134" spans="1:25">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row>
    <row r="135" spans="1:25">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row>
    <row r="136" spans="1:25">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row>
    <row r="137" spans="1:25">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row>
    <row r="138" spans="1:25">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row>
    <row r="139" spans="1:25">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row>
    <row r="140" spans="1:25">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row>
    <row r="141" spans="1:25">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row>
    <row r="142" spans="1:25">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row>
    <row r="143" spans="1:25">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row>
    <row r="144" spans="1:25">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row>
    <row r="145" spans="1:25">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row>
    <row r="146" spans="1:25">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row>
    <row r="147" spans="1:25">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row>
    <row r="148" spans="1:25">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row>
    <row r="149" spans="1:25">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row>
    <row r="150" spans="1:25">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row>
    <row r="151" spans="1:25">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row>
    <row r="152" spans="1:25">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row>
    <row r="153" spans="1:25">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row>
    <row r="154" spans="1:25">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row>
    <row r="155" spans="1:25">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row>
    <row r="156" spans="1:25">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row>
    <row r="157" spans="1:25">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row>
    <row r="158" spans="1:25">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row>
    <row r="159" spans="1:25">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row>
    <row r="160" spans="1:25">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row>
    <row r="161" spans="1:25">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row>
    <row r="162" spans="1:25">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row>
    <row r="163" spans="1:25">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row>
    <row r="164" spans="1:25">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row>
    <row r="165" spans="1:25">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row>
    <row r="166" spans="1:25">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row>
    <row r="167" spans="1:25">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row>
    <row r="168" spans="1:25">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row>
    <row r="169" spans="1:25">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row>
    <row r="170" spans="1:25">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row>
    <row r="171" spans="1:25">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row>
    <row r="172" spans="1:25">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row>
    <row r="173" spans="1:25">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row>
    <row r="174" spans="1:25">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row>
    <row r="175" spans="1:25">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row>
    <row r="176" spans="1:25">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row>
    <row r="177" spans="1:25">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row>
    <row r="178" spans="1:25">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row>
    <row r="179" spans="1:25">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row>
    <row r="180" spans="1:25">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row>
    <row r="181" spans="1:25">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row>
    <row r="182" spans="1:25">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row>
    <row r="183" spans="1:25">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row>
    <row r="184" spans="1:25">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row>
    <row r="185" spans="1:25">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row>
    <row r="186" spans="1:25">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row>
    <row r="187" spans="1:25">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row>
    <row r="188" spans="1:25">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row>
    <row r="189" spans="1:25">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row>
    <row r="190" spans="1:25">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row>
    <row r="191" spans="1:25">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row>
    <row r="192" spans="1:25">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row>
    <row r="193" spans="1:25">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row>
    <row r="194" spans="1:25">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row>
    <row r="195" spans="1:25">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row>
    <row r="196" spans="1:25">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row>
    <row r="197" spans="1:25">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row>
    <row r="198" spans="1:25">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row>
    <row r="199" spans="1:25">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row>
    <row r="200" spans="1:25">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row>
    <row r="201" spans="1:25">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row>
    <row r="202" spans="1:25">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row>
    <row r="203" spans="1:25">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row>
    <row r="204" spans="1:25">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row>
    <row r="205" spans="1:25">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row>
    <row r="206" spans="1:25">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row>
    <row r="207" spans="1:25">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row>
    <row r="208" spans="1:25">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row>
    <row r="209" spans="1:25">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row>
    <row r="210" spans="1:25">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row>
    <row r="211" spans="1:25">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row>
    <row r="212" spans="1:25">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row>
    <row r="213" spans="1:25">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row>
    <row r="214" spans="1:25">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row>
    <row r="215" spans="1:25">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row>
    <row r="216" spans="1:25">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row>
    <row r="217" spans="1:25">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row>
    <row r="218" spans="1:25">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row>
    <row r="219" spans="1:25">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row>
    <row r="220" spans="1:25">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row>
    <row r="221" spans="1:25">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row>
    <row r="222" spans="1:25">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row>
    <row r="223" spans="1:25">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row>
    <row r="224" spans="1:25">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row>
    <row r="225" spans="1:25">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row>
    <row r="226" spans="1:25">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row>
    <row r="227" spans="1:25">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row>
    <row r="228" spans="1:25">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row>
    <row r="229" spans="1:25">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row>
    <row r="230" spans="1:25">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row>
    <row r="231" spans="1:25">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row>
    <row r="232" spans="1:25">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row>
    <row r="233" spans="1:25">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row>
    <row r="234" spans="1:25">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row>
    <row r="235" spans="1:25">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row>
    <row r="236" spans="1:25">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row>
    <row r="237" spans="1:25">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row>
    <row r="238" spans="1:25">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row>
    <row r="239" spans="1:25">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row>
    <row r="240" spans="1:25">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row>
    <row r="241" spans="1:25">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row>
    <row r="242" spans="1:25">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row>
    <row r="243" spans="1:25">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row>
    <row r="244" spans="1:25">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row>
    <row r="245" spans="1:25">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row>
    <row r="246" spans="1:25">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row>
    <row r="247" spans="1:25">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row>
    <row r="248" spans="1:25">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row>
    <row r="249" spans="1:25">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row>
    <row r="250" spans="1:25">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row>
    <row r="251" spans="1:25">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row>
    <row r="252" spans="1:25">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row>
    <row r="253" spans="1:25">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row>
    <row r="254" spans="1:25">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row>
    <row r="255" spans="1:25">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row>
    <row r="256" spans="1:25">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row>
    <row r="257" spans="1:25">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row>
    <row r="258" spans="1:25">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row>
    <row r="259" spans="1:25">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row>
    <row r="260" spans="1:25">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row>
    <row r="261" spans="1:25">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row>
    <row r="262" spans="1:25">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row>
    <row r="263" spans="1:25">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row>
    <row r="264" spans="1:25">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row>
    <row r="265" spans="1:25">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row>
    <row r="266" spans="1:25">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row>
    <row r="267" spans="1:25">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row>
    <row r="268" spans="1:25">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row>
    <row r="269" spans="1:25">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row>
    <row r="270" spans="1:25">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row>
    <row r="271" spans="1:25">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row>
    <row r="272" spans="1:25">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row>
    <row r="273" spans="1:25">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row>
    <row r="274" spans="1:25">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row>
    <row r="275" spans="1:25">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row>
    <row r="276" spans="1:25">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row>
    <row r="277" spans="1:25">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row>
    <row r="278" spans="1:25">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row>
    <row r="279" spans="1:25">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row>
    <row r="280" spans="1:25">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row>
    <row r="281" spans="1:25">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row>
    <row r="282" spans="1:25">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row>
    <row r="283" spans="1:25">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row>
    <row r="284" spans="1:25">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row>
    <row r="285" spans="1:25">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row>
    <row r="286" spans="1:25">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row>
    <row r="287" spans="1:25">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row>
    <row r="288" spans="1:25">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row>
    <row r="289" spans="1:25">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row>
    <row r="290" spans="1:25">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row>
    <row r="291" spans="1:25">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row>
    <row r="292" spans="1:25">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row>
    <row r="293" spans="1:25">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row>
    <row r="294" spans="1:25">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row>
    <row r="295" spans="1:25">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row>
    <row r="296" spans="1:25">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row>
    <row r="297" spans="1:25">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row>
    <row r="298" spans="1:25">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row>
    <row r="299" spans="1:25">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row>
    <row r="300" spans="1:25">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row>
    <row r="301" spans="1:25">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row>
    <row r="302" spans="1:25">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row>
    <row r="303" spans="1:25">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row>
    <row r="304" spans="1:25">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row>
    <row r="305" spans="1:25">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row>
    <row r="306" spans="1:25">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row>
    <row r="307" spans="1:25">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row>
    <row r="308" spans="1:25">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row>
    <row r="309" spans="1:25">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row>
    <row r="310" spans="1:25">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row>
    <row r="311" spans="1:25">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row>
    <row r="312" spans="1:25">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row>
    <row r="313" spans="1:25">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row>
    <row r="314" spans="1:25">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row>
    <row r="315" spans="1:25">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row>
    <row r="316" spans="1:25">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row>
    <row r="317" spans="1:25">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row>
    <row r="318" spans="1:25">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row>
    <row r="319" spans="1:25">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row>
    <row r="320" spans="1:25">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row>
    <row r="321" spans="1:25">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row>
    <row r="322" spans="1:25">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row>
    <row r="323" spans="1:25">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row>
    <row r="324" spans="1:25">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row>
    <row r="325" spans="1:25">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row>
    <row r="326" spans="1:25">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row>
    <row r="327" spans="1:25">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row>
    <row r="328" spans="1:25">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row>
    <row r="329" spans="1:25">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row>
    <row r="330" spans="1:25">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row>
    <row r="331" spans="1:25">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row>
    <row r="332" spans="1:25">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row>
    <row r="333" spans="1:25">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row>
    <row r="334" spans="1:25">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row>
    <row r="335" spans="1:25">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row>
    <row r="336" spans="1:25">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row>
    <row r="337" spans="1:25">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row>
    <row r="338" spans="1:25">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row>
    <row r="339" spans="1:25">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row>
    <row r="340" spans="1:25">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row>
    <row r="341" spans="1:25">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row>
    <row r="342" spans="1:25">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row>
    <row r="343" spans="1:25">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row>
    <row r="344" spans="1:25">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row>
    <row r="345" spans="1:25">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row>
    <row r="346" spans="1:25">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row>
    <row r="347" spans="1:25">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row>
    <row r="348" spans="1:25">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row>
    <row r="349" spans="1:25">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row>
    <row r="350" spans="1:25">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row>
    <row r="351" spans="1:25">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row>
    <row r="352" spans="1:25">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row>
    <row r="353" spans="1:25">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row>
    <row r="354" spans="1:25">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row>
    <row r="355" spans="1:25">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row>
    <row r="356" spans="1:25">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row>
    <row r="357" spans="1:25">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row>
    <row r="358" spans="1:25">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row>
    <row r="359" spans="1:25">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row>
    <row r="360" spans="1:25">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row>
    <row r="361" spans="1:25">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row>
    <row r="362" spans="1:25">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row>
    <row r="363" spans="1:25">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row>
    <row r="364" spans="1:25">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row>
    <row r="365" spans="1:25">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row>
    <row r="366" spans="1:25">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row>
    <row r="367" spans="1:25">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row>
    <row r="368" spans="1:25">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row>
    <row r="369" spans="1:25">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row>
    <row r="370" spans="1:25">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row>
    <row r="371" spans="1:25">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row>
    <row r="372" spans="1:25">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row>
    <row r="373" spans="1:25">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row>
    <row r="374" spans="1:25">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row>
    <row r="375" spans="1:25">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row>
    <row r="376" spans="1:25">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row>
    <row r="377" spans="1:25">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row>
    <row r="378" spans="1:25">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row>
    <row r="379" spans="1:25">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row>
    <row r="380" spans="1:25">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row>
    <row r="381" spans="1:25">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row>
    <row r="382" spans="1:25">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row>
    <row r="383" spans="1:25">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row>
    <row r="384" spans="1:25">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row>
    <row r="385" spans="1:25">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row>
    <row r="386" spans="1:25">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row>
    <row r="387" spans="1:25">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row>
    <row r="388" spans="1:25">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row>
    <row r="389" spans="1:25">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row>
    <row r="390" spans="1:25">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row>
    <row r="391" spans="1:25">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row>
    <row r="392" spans="1:25">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row>
    <row r="393" spans="1:25">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row>
    <row r="394" spans="1:25">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row>
    <row r="395" spans="1:25">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row>
    <row r="396" spans="1:25">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row>
    <row r="397" spans="1:25">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row>
    <row r="398" spans="1:25">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row>
    <row r="399" spans="1:25">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row>
    <row r="400" spans="1:25">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row>
    <row r="401" spans="1:25">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row>
    <row r="402" spans="1:25">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row>
    <row r="403" spans="1:25">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row>
    <row r="404" spans="1:25">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row>
    <row r="405" spans="1:25">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row>
    <row r="406" spans="1:25">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row>
    <row r="407" spans="1:25">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row>
    <row r="408" spans="1:25">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row>
    <row r="409" spans="1:25">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row>
    <row r="410" spans="1:25">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row>
    <row r="411" spans="1:25">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row>
    <row r="412" spans="1:25">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row>
    <row r="413" spans="1:25">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row>
    <row r="414" spans="1:25">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row>
    <row r="415" spans="1:25">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row>
    <row r="416" spans="1:25">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row>
    <row r="417" spans="1:25">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row>
    <row r="418" spans="1:25">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row>
    <row r="419" spans="1:25">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row>
    <row r="420" spans="1:25">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row>
    <row r="421" spans="1:25">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row>
    <row r="422" spans="1:25">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row>
    <row r="423" spans="1:25">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row>
    <row r="424" spans="1:25">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row>
    <row r="425" spans="1:25">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row>
    <row r="426" spans="1:25">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row>
    <row r="427" spans="1:25">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row>
    <row r="428" spans="1:25">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row>
    <row r="429" spans="1:25">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row>
    <row r="430" spans="1:25">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row>
    <row r="431" spans="1:25">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row>
    <row r="432" spans="1:25">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row>
    <row r="433" spans="1:25">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row>
    <row r="434" spans="1:25">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row>
    <row r="435" spans="1:25">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row>
    <row r="436" spans="1:25">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row>
    <row r="437" spans="1:25">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row>
    <row r="438" spans="1:25">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row>
    <row r="439" spans="1:25">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row>
    <row r="440" spans="1:25">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row>
    <row r="441" spans="1:25">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row>
    <row r="442" spans="1:25">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row>
    <row r="443" spans="1:25">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row>
    <row r="444" spans="1:25">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row>
    <row r="445" spans="1:25">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row>
    <row r="446" spans="1:25">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row>
    <row r="447" spans="1:25">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row>
    <row r="448" spans="1:25">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row>
    <row r="449" spans="1:25">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row>
    <row r="450" spans="1:25">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row>
    <row r="451" spans="1:25">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row>
    <row r="452" spans="1:25">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row>
    <row r="453" spans="1:25">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row>
    <row r="454" spans="1:25">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row>
    <row r="455" spans="1:25">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row>
    <row r="456" spans="1:25">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row>
    <row r="457" spans="1:25">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row>
    <row r="458" spans="1:25">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row>
    <row r="459" spans="1:25">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row>
    <row r="460" spans="1:25">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row>
    <row r="461" spans="1:25">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row>
    <row r="462" spans="1:25">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row>
    <row r="463" spans="1:25">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row>
    <row r="464" spans="1:25">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row>
    <row r="465" spans="1:25">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row>
    <row r="466" spans="1:25">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row>
    <row r="467" spans="1:25">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row>
    <row r="468" spans="1:25">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row>
    <row r="469" spans="1:25">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row>
    <row r="470" spans="1:25">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row>
    <row r="471" spans="1:25">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row>
    <row r="472" spans="1:25">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row>
    <row r="473" spans="1:25">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row>
    <row r="474" spans="1:25">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row>
    <row r="475" spans="1:25">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row>
    <row r="476" spans="1:25">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row>
    <row r="477" spans="1:25">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row>
    <row r="478" spans="1:25">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row>
    <row r="479" spans="1:25">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row>
    <row r="480" spans="1:25">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row>
    <row r="481" spans="1:25">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row>
    <row r="482" spans="1:25">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row>
    <row r="483" spans="1:25">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row>
    <row r="484" spans="1:25">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row>
    <row r="485" spans="1:25">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row>
    <row r="486" spans="1:25">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row>
    <row r="487" spans="1:25">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row>
    <row r="488" spans="1:25">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row>
    <row r="489" spans="1:25">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row>
    <row r="490" spans="1:25">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row>
    <row r="491" spans="1:25">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row>
    <row r="492" spans="1:25">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row>
    <row r="493" spans="1:25">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row>
    <row r="494" spans="1:25">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row>
    <row r="495" spans="1:25">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row>
    <row r="496" spans="1:25">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row>
    <row r="497" spans="1:25">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row>
    <row r="498" spans="1:25">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row>
    <row r="499" spans="1:25">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row>
    <row r="500" spans="1:25">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row>
    <row r="501" spans="1:25">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row>
    <row r="502" spans="1:25">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row>
    <row r="503" spans="1:25">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row>
    <row r="504" spans="1:25">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row>
    <row r="505" spans="1:25">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row>
    <row r="506" spans="1:25">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row>
    <row r="507" spans="1:25">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row>
    <row r="508" spans="1:25">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row>
    <row r="509" spans="1:25">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row>
    <row r="510" spans="1:25">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row>
    <row r="511" spans="1:25">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row>
    <row r="512" spans="1:25">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row>
    <row r="513" spans="1:25">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row>
    <row r="514" spans="1:25">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row>
    <row r="515" spans="1:25">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row>
    <row r="516" spans="1:25">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row>
    <row r="517" spans="1:25">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row>
    <row r="518" spans="1:25">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row>
    <row r="519" spans="1:25">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row>
    <row r="520" spans="1:25">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row>
    <row r="521" spans="1:25">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row>
    <row r="522" spans="1:25">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row>
    <row r="523" spans="1:25">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row>
    <row r="524" spans="1:25">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row>
    <row r="525" spans="1:25">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row>
    <row r="526" spans="1:25">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row>
    <row r="527" spans="1:25">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row>
    <row r="528" spans="1:25">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row>
    <row r="529" spans="1:25">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row>
    <row r="530" spans="1:25">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row>
    <row r="531" spans="1:25">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row>
    <row r="532" spans="1:25">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row>
    <row r="533" spans="1:25">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row>
    <row r="534" spans="1:25">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row>
    <row r="535" spans="1:25">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row>
    <row r="536" spans="1:25">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row>
    <row r="537" spans="1:25">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row>
    <row r="538" spans="1:25">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row>
    <row r="539" spans="1:25">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row>
    <row r="540" spans="1:25">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row>
    <row r="541" spans="1:25">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row>
    <row r="542" spans="1:25">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row>
    <row r="543" spans="1:25">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row>
    <row r="544" spans="1:25">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row>
    <row r="545" spans="1:25">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row>
    <row r="546" spans="1:25">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row>
    <row r="547" spans="1:25">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row>
    <row r="548" spans="1:25">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row>
    <row r="549" spans="1:25">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row>
    <row r="550" spans="1:25">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row>
    <row r="551" spans="1:25">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row>
    <row r="552" spans="1:25">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row>
    <row r="553" spans="1:25">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row>
    <row r="554" spans="1:25">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row>
    <row r="555" spans="1:25">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row>
    <row r="556" spans="1:25">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row>
    <row r="557" spans="1:25">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row>
    <row r="558" spans="1:25">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row>
    <row r="559" spans="1:25">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row>
    <row r="560" spans="1:25">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row>
    <row r="561" spans="1:25">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row>
    <row r="562" spans="1:25">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row>
    <row r="563" spans="1:25">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row>
    <row r="564" spans="1:25">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row>
    <row r="565" spans="1:25">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row>
    <row r="566" spans="1:25">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row>
    <row r="567" spans="1:25">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row>
    <row r="568" spans="1:25">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row>
    <row r="569" spans="1:25">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row>
    <row r="570" spans="1:25">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row>
    <row r="571" spans="1:25">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row>
    <row r="572" spans="1:25">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row>
    <row r="573" spans="1:25">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row>
    <row r="574" spans="1:25">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row>
    <row r="575" spans="1:25">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row>
    <row r="576" spans="1:25">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row>
    <row r="577" spans="1:25">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row>
    <row r="578" spans="1:25">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row>
    <row r="579" spans="1:25">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row>
    <row r="580" spans="1:25">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row>
    <row r="581" spans="1:25">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row>
    <row r="582" spans="1:25">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row>
    <row r="583" spans="1:25">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row>
    <row r="584" spans="1:25">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row>
    <row r="585" spans="1:25">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row>
    <row r="586" spans="1:25">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row>
    <row r="587" spans="1:25">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row>
    <row r="588" spans="1:25">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row>
    <row r="589" spans="1:25">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row>
    <row r="590" spans="1:25">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row>
    <row r="591" spans="1:25">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row>
    <row r="592" spans="1:25">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row>
    <row r="593" spans="1:25">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row>
    <row r="594" spans="1:25">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row>
    <row r="595" spans="1:25">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row>
    <row r="596" spans="1:25">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row>
    <row r="597" spans="1:25">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row>
    <row r="598" spans="1:25">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row>
    <row r="599" spans="1:25">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row>
    <row r="600" spans="1:25">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row>
    <row r="601" spans="1:25">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row>
    <row r="602" spans="1:25">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row>
    <row r="603" spans="1:25">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row>
    <row r="604" spans="1:25">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row>
    <row r="605" spans="1:25">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row>
    <row r="606" spans="1:25">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row>
    <row r="607" spans="1:25">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row>
    <row r="608" spans="1:25">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row>
    <row r="609" spans="1:25">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row>
    <row r="610" spans="1:25">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row>
    <row r="611" spans="1:25">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row>
    <row r="612" spans="1:25">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row>
    <row r="613" spans="1:25">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row>
    <row r="614" spans="1:25">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row>
    <row r="615" spans="1:25">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row>
    <row r="616" spans="1:25">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row>
    <row r="617" spans="1:25">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row>
    <row r="618" spans="1:25">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row>
    <row r="619" spans="1:25">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row>
    <row r="620" spans="1:25">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row>
    <row r="621" spans="1:25">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row>
    <row r="622" spans="1:25">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row>
    <row r="623" spans="1:25">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row>
    <row r="624" spans="1:25">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row>
    <row r="625" spans="1:25">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row>
    <row r="626" spans="1:25">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row>
    <row r="627" spans="1:25">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row>
    <row r="628" spans="1:25">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row>
    <row r="629" spans="1:25">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row>
    <row r="630" spans="1:25">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row>
    <row r="631" spans="1:25">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row>
    <row r="632" spans="1:25">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row>
    <row r="633" spans="1:25">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row>
    <row r="634" spans="1:25">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row>
    <row r="635" spans="1:25">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row>
    <row r="636" spans="1:25">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row>
    <row r="637" spans="1:25">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row>
    <row r="638" spans="1:25">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row>
    <row r="639" spans="1:25">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row>
    <row r="640" spans="1:25">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row>
    <row r="641" spans="1:25">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row>
    <row r="642" spans="1:25">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row>
    <row r="643" spans="1:25">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row>
    <row r="644" spans="1:25">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row>
    <row r="645" spans="1:25">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row>
    <row r="646" spans="1:25">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row>
    <row r="647" spans="1:25">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row>
    <row r="648" spans="1:25">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row>
    <row r="649" spans="1:25">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row>
    <row r="650" spans="1:25">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row>
    <row r="651" spans="1:25">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row>
    <row r="652" spans="1:25">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row>
    <row r="653" spans="1:25">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row>
    <row r="654" spans="1:25">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row>
    <row r="655" spans="1:25">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row>
    <row r="656" spans="1:25">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row>
    <row r="657" spans="1:25">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row>
    <row r="658" spans="1:25">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row>
    <row r="659" spans="1:25">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row>
    <row r="660" spans="1:25">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row>
    <row r="661" spans="1:25">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row>
    <row r="662" spans="1:25">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row>
    <row r="663" spans="1:25">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row>
    <row r="664" spans="1:25">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row>
    <row r="665" spans="1:25">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row>
    <row r="666" spans="1:25">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row>
    <row r="667" spans="1:25">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row>
    <row r="668" spans="1:25">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row>
    <row r="669" spans="1:25">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row>
    <row r="670" spans="1:25">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row>
    <row r="671" spans="1:25">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row>
    <row r="672" spans="1:25">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row>
    <row r="673" spans="1:25">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row>
    <row r="674" spans="1:25">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row>
    <row r="675" spans="1:25">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row>
    <row r="676" spans="1:25">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row>
    <row r="677" spans="1:25">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row>
    <row r="678" spans="1:25">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row>
    <row r="679" spans="1:25">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row>
    <row r="680" spans="1:25">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row>
    <row r="681" spans="1:25">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row>
    <row r="682" spans="1:25">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row>
    <row r="683" spans="1:25">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row>
    <row r="684" spans="1:25">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row>
    <row r="685" spans="1:25">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row>
    <row r="686" spans="1:25">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row>
    <row r="687" spans="1:25">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row>
    <row r="688" spans="1:25">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row>
    <row r="689" spans="1:25">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row>
    <row r="690" spans="1:25">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row>
    <row r="691" spans="1:25">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row>
    <row r="692" spans="1:25">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row>
    <row r="693" spans="1:25">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row>
    <row r="694" spans="1:25">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row>
    <row r="695" spans="1:25">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row>
    <row r="696" spans="1:25">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row>
    <row r="697" spans="1:25">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row>
    <row r="698" spans="1:25">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row>
    <row r="699" spans="1:25">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row>
    <row r="700" spans="1:25">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row>
    <row r="701" spans="1:25">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row>
    <row r="702" spans="1:25">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row>
    <row r="703" spans="1:25">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row>
    <row r="704" spans="1:25">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row>
    <row r="705" spans="1:25">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row>
    <row r="706" spans="1:25">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row>
    <row r="707" spans="1:25">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row>
    <row r="708" spans="1:25">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row>
    <row r="709" spans="1:25">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row>
    <row r="710" spans="1:25">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row>
    <row r="711" spans="1:25">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row>
    <row r="712" spans="1:25">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row>
    <row r="713" spans="1:25">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row>
    <row r="714" spans="1:25">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row>
    <row r="715" spans="1:25">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row>
    <row r="716" spans="1:25">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row>
    <row r="717" spans="1:25">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row>
    <row r="718" spans="1:25">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row>
    <row r="719" spans="1:25">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row>
    <row r="720" spans="1:25">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row>
    <row r="721" spans="1:25">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row>
    <row r="722" spans="1:25">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row>
    <row r="723" spans="1:25">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row>
    <row r="724" spans="1:25">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row>
    <row r="725" spans="1:25">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row>
    <row r="726" spans="1:25">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row>
    <row r="727" spans="1:25">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row>
    <row r="728" spans="1:25">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row>
    <row r="729" spans="1:25">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row>
    <row r="730" spans="1:25">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row>
    <row r="731" spans="1:25">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row>
    <row r="732" spans="1:25">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row>
    <row r="733" spans="1:25">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row>
    <row r="734" spans="1:25">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row>
    <row r="735" spans="1:25">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row>
    <row r="736" spans="1:25">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row>
    <row r="737" spans="1:25">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row>
    <row r="738" spans="1:25">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row>
    <row r="739" spans="1:25">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row>
    <row r="740" spans="1:25">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row>
    <row r="741" spans="1:25">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row>
    <row r="742" spans="1:25">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row>
    <row r="743" spans="1:25">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row>
    <row r="744" spans="1:25">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row>
    <row r="745" spans="1:25">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row>
    <row r="746" spans="1:25">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row>
    <row r="747" spans="1:25">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row>
    <row r="748" spans="1:25">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row>
    <row r="749" spans="1:25">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row>
    <row r="750" spans="1:25">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row>
    <row r="751" spans="1:25">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row>
    <row r="752" spans="1:25">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row>
    <row r="753" spans="1:25">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row>
    <row r="754" spans="1:25">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row>
    <row r="755" spans="1:25">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row>
    <row r="756" spans="1:25">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row>
    <row r="757" spans="1:25">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row>
    <row r="758" spans="1:25">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row>
    <row r="759" spans="1:25">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row>
    <row r="760" spans="1:25">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row>
    <row r="761" spans="1:25">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row>
    <row r="762" spans="1:25">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row>
    <row r="763" spans="1:25">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row>
    <row r="764" spans="1:25">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row>
    <row r="765" spans="1:25">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row>
    <row r="766" spans="1:25">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row>
    <row r="767" spans="1:25">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row>
    <row r="768" spans="1:25">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row>
    <row r="769" spans="1:25">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row>
    <row r="770" spans="1:25">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row>
    <row r="771" spans="1:25">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row>
    <row r="772" spans="1:25">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row>
    <row r="773" spans="1:25">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row>
    <row r="774" spans="1:25">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row>
    <row r="775" spans="1:25">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row>
    <row r="776" spans="1:25">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row>
    <row r="777" spans="1:25">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row>
    <row r="778" spans="1:25">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row>
    <row r="779" spans="1:25">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row>
    <row r="780" spans="1:25">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row>
    <row r="781" spans="1:25">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row>
    <row r="782" spans="1:25">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row>
    <row r="783" spans="1:25">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row>
    <row r="784" spans="1:25">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row>
    <row r="785" spans="1:25">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row>
    <row r="786" spans="1:25">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row>
    <row r="787" spans="1:25">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row>
    <row r="788" spans="1:25">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row>
    <row r="789" spans="1:25">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row>
    <row r="790" spans="1:25">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row>
    <row r="791" spans="1:25">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row>
    <row r="792" spans="1:25">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row>
    <row r="793" spans="1:25">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row>
    <row r="794" spans="1:25">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row>
    <row r="795" spans="1:25">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row>
    <row r="796" spans="1:25">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row>
    <row r="797" spans="1:25">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row>
    <row r="798" spans="1:25">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row>
    <row r="799" spans="1:25">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row>
    <row r="800" spans="1:25">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row>
    <row r="801" spans="1:25">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row>
    <row r="802" spans="1:25">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row>
    <row r="803" spans="1:25">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row>
    <row r="804" spans="1:25">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row>
    <row r="805" spans="1:25">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row>
    <row r="806" spans="1:25">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row>
    <row r="807" spans="1:25">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row>
    <row r="808" spans="1:25">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row>
    <row r="809" spans="1:25">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row>
    <row r="810" spans="1:25">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row>
    <row r="811" spans="1:25">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row>
    <row r="812" spans="1:25">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row>
    <row r="813" spans="1:25">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row>
    <row r="814" spans="1:25">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row>
    <row r="815" spans="1:25">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row>
    <row r="816" spans="1:25">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row>
    <row r="817" spans="1:25">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row>
    <row r="818" spans="1:25">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row>
    <row r="819" spans="1:25">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row>
    <row r="820" spans="1:25">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row>
    <row r="821" spans="1:25">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row>
    <row r="822" spans="1:25">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row>
    <row r="823" spans="1:25">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row>
    <row r="824" spans="1:25">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row>
    <row r="825" spans="1:25">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row>
    <row r="826" spans="1:25">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row>
    <row r="827" spans="1:25">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row>
    <row r="828" spans="1:25">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row>
    <row r="829" spans="1:25">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row>
    <row r="830" spans="1:25">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row>
    <row r="831" spans="1:25">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row>
    <row r="832" spans="1:25">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row>
    <row r="833" spans="1:25">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row>
    <row r="834" spans="1:25">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row>
    <row r="835" spans="1:25">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row>
    <row r="836" spans="1:25">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row>
    <row r="837" spans="1:25">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row>
    <row r="838" spans="1:25">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row>
    <row r="839" spans="1:25">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row>
    <row r="840" spans="1:25">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row>
    <row r="841" spans="1:25">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row>
    <row r="842" spans="1:25">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row>
    <row r="843" spans="1:25">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row>
    <row r="844" spans="1:25">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row>
    <row r="845" spans="1:25">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row>
    <row r="846" spans="1:25">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row>
    <row r="847" spans="1:25">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row>
    <row r="848" spans="1:25">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row>
    <row r="849" spans="1:25">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row>
    <row r="850" spans="1:25">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row>
    <row r="851" spans="1:25">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row>
    <row r="852" spans="1:25">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row>
    <row r="853" spans="1:25">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row>
    <row r="854" spans="1:25">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row>
    <row r="855" spans="1:25">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row>
    <row r="856" spans="1:25">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row>
    <row r="857" spans="1:25">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row>
    <row r="858" spans="1:25">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row>
    <row r="859" spans="1:25">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row>
    <row r="860" spans="1:25">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row>
    <row r="861" spans="1:25">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row>
    <row r="862" spans="1:25">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row>
    <row r="863" spans="1:25">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row>
    <row r="864" spans="1:25">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row>
    <row r="865" spans="1:25">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row>
    <row r="866" spans="1:25">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row>
    <row r="867" spans="1:25">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row>
    <row r="868" spans="1:25">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row>
    <row r="869" spans="1:25">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row>
    <row r="870" spans="1:25">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row>
    <row r="871" spans="1:25">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row>
    <row r="872" spans="1:25">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row>
    <row r="873" spans="1:25">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row>
    <row r="874" spans="1:25">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row>
    <row r="875" spans="1:25">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row>
    <row r="876" spans="1:25">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row>
    <row r="877" spans="1:25">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row>
    <row r="878" spans="1:25">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row>
    <row r="879" spans="1:25">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row>
    <row r="880" spans="1:25">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row>
    <row r="881" spans="1:25">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row>
    <row r="882" spans="1:25">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row>
    <row r="883" spans="1:25">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row>
    <row r="884" spans="1:25">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row>
    <row r="885" spans="1:25">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row>
    <row r="886" spans="1:25">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row>
    <row r="887" spans="1:25">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row>
    <row r="888" spans="1:25">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row>
    <row r="889" spans="1:25">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row>
    <row r="890" spans="1:25">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row>
    <row r="891" spans="1:25">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row>
    <row r="892" spans="1:25">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row>
    <row r="893" spans="1:25">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row>
    <row r="894" spans="1:25">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row>
    <row r="895" spans="1:25">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row>
    <row r="896" spans="1:25">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row>
    <row r="897" spans="1:25">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row>
    <row r="898" spans="1:25">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row>
    <row r="899" spans="1:25">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row>
    <row r="900" spans="1:25">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row>
    <row r="901" spans="1:25">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row>
    <row r="902" spans="1:25">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row>
    <row r="903" spans="1:25">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row>
    <row r="904" spans="1:25">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row>
    <row r="905" spans="1:25">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row>
    <row r="906" spans="1:25">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row>
    <row r="907" spans="1:25">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row>
    <row r="908" spans="1:25">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row>
    <row r="909" spans="1:25">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row>
    <row r="910" spans="1:25">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row>
    <row r="911" spans="1:25">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row>
    <row r="912" spans="1:25">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row>
    <row r="913" spans="1:25">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row>
    <row r="914" spans="1:25">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row>
    <row r="915" spans="1:25">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row>
    <row r="916" spans="1:25">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row>
    <row r="917" spans="1:25">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row>
    <row r="918" spans="1:25">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row>
    <row r="919" spans="1:25">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row>
    <row r="920" spans="1:25">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row>
    <row r="921" spans="1:25">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row>
    <row r="922" spans="1:25">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row>
    <row r="923" spans="1:25">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row>
    <row r="924" spans="1:25">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row>
    <row r="925" spans="1:25">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row>
    <row r="926" spans="1:25">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row>
    <row r="927" spans="1:25">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row>
    <row r="928" spans="1:25">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row>
    <row r="929" spans="1:25">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row>
    <row r="930" spans="1:25">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row>
    <row r="931" spans="1:25">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row>
    <row r="932" spans="1:25">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row>
    <row r="933" spans="1:25">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row>
    <row r="934" spans="1:25">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row>
    <row r="935" spans="1:25">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row>
    <row r="936" spans="1:25">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row>
    <row r="937" spans="1:25">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row>
    <row r="938" spans="1:25">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row>
    <row r="939" spans="1:25">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row>
    <row r="940" spans="1:25">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row>
    <row r="941" spans="1:25">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row>
    <row r="942" spans="1:25">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row>
    <row r="943" spans="1:25">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row>
    <row r="944" spans="1:25">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row>
    <row r="945" spans="1:25">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row>
    <row r="946" spans="1:25">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row>
    <row r="947" spans="1:25">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row>
    <row r="948" spans="1:25">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row>
    <row r="949" spans="1:25">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row>
    <row r="950" spans="1:25">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row>
    <row r="951" spans="1:25">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row>
    <row r="952" spans="1:25">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row>
    <row r="953" spans="1:25">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row>
    <row r="954" spans="1:25">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row>
    <row r="955" spans="1:25">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row>
    <row r="956" spans="1:25">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row>
    <row r="957" spans="1:25">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row>
    <row r="958" spans="1:25">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row>
    <row r="959" spans="1:25">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row>
    <row r="960" spans="1:25">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row>
    <row r="961" spans="1:25">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row>
    <row r="962" spans="1:25">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row>
    <row r="963" spans="1:25">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row>
    <row r="964" spans="1:25">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row>
    <row r="965" spans="1:25">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row>
    <row r="966" spans="1:25">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row>
    <row r="967" spans="1:25">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row>
    <row r="968" spans="1:25">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row>
    <row r="969" spans="1:25">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row>
    <row r="970" spans="1:25">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row>
    <row r="971" spans="1:25">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row>
    <row r="972" spans="1:25">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row>
    <row r="973" spans="1:25">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row>
    <row r="974" spans="1:25">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row>
    <row r="975" spans="1:25">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row>
    <row r="976" spans="1:25">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row>
    <row r="977" spans="1:25">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row>
    <row r="978" spans="1:25">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row>
    <row r="979" spans="1:25">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row>
    <row r="980" spans="1:25">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row>
    <row r="981" spans="1:25">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row>
    <row r="982" spans="1:25">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row>
    <row r="983" spans="1:25">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row>
    <row r="984" spans="1:25">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row>
    <row r="985" spans="1:25">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row>
    <row r="986" spans="1:25">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row>
    <row r="987" spans="1:25">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row>
    <row r="988" spans="1:25">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row>
    <row r="989" spans="1:25">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row>
    <row r="990" spans="1:25">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row>
    <row r="991" spans="1:25">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row>
    <row r="992" spans="1:25">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row>
    <row r="993" spans="1:25">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row>
    <row r="994" spans="1:25">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row>
    <row r="995" spans="1:25">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row>
    <row r="996" spans="1:25">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row>
    <row r="997" spans="1:25">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row>
    <row r="998" spans="1:25">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row>
    <row r="999" spans="1:25">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row>
    <row r="1000" spans="1:25">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row>
    <row r="1001" spans="1:25">
      <c r="A1001" s="184"/>
      <c r="B1001" s="184"/>
      <c r="C1001" s="184"/>
      <c r="D1001" s="184"/>
      <c r="E1001" s="184"/>
      <c r="F1001" s="184"/>
      <c r="G1001" s="184"/>
      <c r="H1001" s="184"/>
      <c r="I1001" s="184"/>
      <c r="J1001" s="184"/>
      <c r="K1001" s="184"/>
      <c r="L1001" s="184"/>
      <c r="M1001" s="184"/>
      <c r="N1001" s="184"/>
      <c r="O1001" s="184"/>
      <c r="P1001" s="184"/>
      <c r="Q1001" s="184"/>
      <c r="R1001" s="184"/>
      <c r="S1001" s="184"/>
      <c r="T1001" s="184"/>
      <c r="U1001" s="184"/>
      <c r="V1001" s="184"/>
      <c r="W1001" s="184"/>
      <c r="X1001" s="184"/>
      <c r="Y1001" s="184"/>
    </row>
    <row r="1002" spans="1:25">
      <c r="A1002" s="184"/>
      <c r="B1002" s="184"/>
      <c r="C1002" s="184"/>
      <c r="D1002" s="184"/>
      <c r="E1002" s="184"/>
      <c r="F1002" s="184"/>
      <c r="G1002" s="184"/>
      <c r="H1002" s="184"/>
      <c r="I1002" s="184"/>
      <c r="J1002" s="184"/>
      <c r="K1002" s="184"/>
      <c r="L1002" s="184"/>
      <c r="M1002" s="184"/>
      <c r="N1002" s="184"/>
      <c r="O1002" s="184"/>
      <c r="P1002" s="184"/>
      <c r="Q1002" s="184"/>
      <c r="R1002" s="184"/>
      <c r="S1002" s="184"/>
      <c r="T1002" s="184"/>
      <c r="U1002" s="184"/>
      <c r="V1002" s="184"/>
      <c r="W1002" s="184"/>
      <c r="X1002" s="184"/>
      <c r="Y1002" s="184"/>
    </row>
    <row r="1003" spans="1:25">
      <c r="A1003" s="184"/>
      <c r="B1003" s="184"/>
      <c r="C1003" s="184"/>
      <c r="D1003" s="184"/>
      <c r="E1003" s="184"/>
      <c r="F1003" s="184"/>
      <c r="G1003" s="184"/>
      <c r="H1003" s="184"/>
      <c r="I1003" s="184"/>
      <c r="J1003" s="184"/>
      <c r="K1003" s="184"/>
      <c r="L1003" s="184"/>
      <c r="M1003" s="184"/>
      <c r="N1003" s="184"/>
      <c r="O1003" s="184"/>
      <c r="P1003" s="184"/>
      <c r="Q1003" s="184"/>
      <c r="R1003" s="184"/>
      <c r="S1003" s="184"/>
      <c r="T1003" s="184"/>
      <c r="U1003" s="184"/>
      <c r="V1003" s="184"/>
      <c r="W1003" s="184"/>
      <c r="X1003" s="184"/>
      <c r="Y1003" s="184"/>
    </row>
    <row r="1004" spans="1:25">
      <c r="A1004" s="184"/>
      <c r="B1004" s="184"/>
      <c r="C1004" s="184"/>
      <c r="D1004" s="184"/>
      <c r="E1004" s="184"/>
      <c r="F1004" s="184"/>
      <c r="G1004" s="184"/>
      <c r="H1004" s="184"/>
      <c r="I1004" s="184"/>
      <c r="J1004" s="184"/>
      <c r="K1004" s="184"/>
      <c r="L1004" s="184"/>
      <c r="M1004" s="184"/>
      <c r="N1004" s="184"/>
      <c r="O1004" s="184"/>
      <c r="P1004" s="184"/>
      <c r="Q1004" s="184"/>
      <c r="R1004" s="184"/>
      <c r="S1004" s="184"/>
      <c r="T1004" s="184"/>
      <c r="U1004" s="184"/>
      <c r="V1004" s="184"/>
      <c r="W1004" s="184"/>
      <c r="X1004" s="184"/>
      <c r="Y1004" s="184"/>
    </row>
    <row r="1005" spans="1:25">
      <c r="A1005" s="184"/>
      <c r="B1005" s="184"/>
      <c r="C1005" s="184"/>
      <c r="D1005" s="184"/>
      <c r="E1005" s="184"/>
      <c r="F1005" s="184"/>
      <c r="G1005" s="184"/>
      <c r="H1005" s="184"/>
      <c r="I1005" s="184"/>
      <c r="J1005" s="184"/>
      <c r="K1005" s="184"/>
      <c r="L1005" s="184"/>
      <c r="M1005" s="184"/>
      <c r="N1005" s="184"/>
      <c r="O1005" s="184"/>
      <c r="P1005" s="184"/>
      <c r="Q1005" s="184"/>
      <c r="R1005" s="184"/>
      <c r="S1005" s="184"/>
      <c r="T1005" s="184"/>
      <c r="U1005" s="184"/>
      <c r="V1005" s="184"/>
      <c r="W1005" s="184"/>
      <c r="X1005" s="184"/>
      <c r="Y1005" s="184"/>
    </row>
    <row r="1006" spans="1:25">
      <c r="A1006" s="184"/>
      <c r="B1006" s="184"/>
      <c r="C1006" s="184"/>
      <c r="D1006" s="184"/>
      <c r="E1006" s="184"/>
      <c r="F1006" s="184"/>
      <c r="G1006" s="184"/>
      <c r="H1006" s="184"/>
      <c r="I1006" s="184"/>
      <c r="J1006" s="184"/>
      <c r="K1006" s="184"/>
      <c r="L1006" s="184"/>
      <c r="M1006" s="184"/>
      <c r="N1006" s="184"/>
      <c r="O1006" s="184"/>
      <c r="P1006" s="184"/>
      <c r="Q1006" s="184"/>
      <c r="R1006" s="184"/>
      <c r="S1006" s="184"/>
      <c r="T1006" s="184"/>
      <c r="U1006" s="184"/>
      <c r="V1006" s="184"/>
      <c r="W1006" s="184"/>
      <c r="X1006" s="184"/>
      <c r="Y1006" s="184"/>
    </row>
    <row r="1007" spans="1:25">
      <c r="A1007" s="184"/>
      <c r="B1007" s="184"/>
      <c r="C1007" s="184"/>
      <c r="D1007" s="184"/>
      <c r="E1007" s="184"/>
      <c r="F1007" s="184"/>
      <c r="G1007" s="184"/>
      <c r="H1007" s="184"/>
      <c r="I1007" s="184"/>
      <c r="J1007" s="184"/>
      <c r="K1007" s="184"/>
      <c r="L1007" s="184"/>
      <c r="M1007" s="184"/>
      <c r="N1007" s="184"/>
      <c r="O1007" s="184"/>
      <c r="P1007" s="184"/>
      <c r="Q1007" s="184"/>
      <c r="R1007" s="184"/>
      <c r="S1007" s="184"/>
      <c r="T1007" s="184"/>
      <c r="U1007" s="184"/>
      <c r="V1007" s="184"/>
      <c r="W1007" s="184"/>
      <c r="X1007" s="184"/>
      <c r="Y1007" s="184"/>
    </row>
    <row r="1008" spans="1:25">
      <c r="A1008" s="184"/>
      <c r="B1008" s="184"/>
      <c r="C1008" s="184"/>
      <c r="D1008" s="184"/>
      <c r="E1008" s="184"/>
      <c r="F1008" s="184"/>
      <c r="G1008" s="184"/>
      <c r="H1008" s="184"/>
      <c r="I1008" s="184"/>
      <c r="J1008" s="184"/>
      <c r="K1008" s="184"/>
      <c r="L1008" s="184"/>
      <c r="M1008" s="184"/>
      <c r="N1008" s="184"/>
      <c r="O1008" s="184"/>
      <c r="P1008" s="184"/>
      <c r="Q1008" s="184"/>
      <c r="R1008" s="184"/>
      <c r="S1008" s="184"/>
      <c r="T1008" s="184"/>
      <c r="U1008" s="184"/>
      <c r="V1008" s="184"/>
      <c r="W1008" s="184"/>
      <c r="X1008" s="184"/>
      <c r="Y1008" s="184"/>
    </row>
  </sheetData>
  <mergeCells count="7">
    <mergeCell ref="A17:H17"/>
    <mergeCell ref="A1:H1"/>
    <mergeCell ref="A3:H3"/>
    <mergeCell ref="A5:A7"/>
    <mergeCell ref="H5:H7"/>
    <mergeCell ref="A8:H8"/>
    <mergeCell ref="A2:H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F6A1-8B8C-42C1-914B-66085B8406AD}">
  <dimension ref="A1:I17"/>
  <sheetViews>
    <sheetView workbookViewId="0">
      <selection activeCell="M6" sqref="M6"/>
    </sheetView>
  </sheetViews>
  <sheetFormatPr defaultRowHeight="15.75"/>
  <cols>
    <col min="1" max="1" width="5.140625" style="26" bestFit="1" customWidth="1"/>
    <col min="2" max="2" width="18.28515625" style="1" customWidth="1"/>
    <col min="3" max="3" width="20.140625" style="1" customWidth="1"/>
    <col min="4" max="4" width="26.28515625" style="1" customWidth="1"/>
    <col min="5" max="5" width="30.28515625" style="1" customWidth="1"/>
    <col min="6" max="6" width="13.7109375" style="1" customWidth="1"/>
    <col min="7" max="7" width="16.7109375" style="1" customWidth="1"/>
    <col min="8" max="8" width="16.140625" style="1" customWidth="1"/>
    <col min="9" max="9" width="19" style="1" customWidth="1"/>
    <col min="10" max="16384" width="9.140625" style="1"/>
  </cols>
  <sheetData>
    <row r="1" spans="1:9" ht="62.25" customHeight="1">
      <c r="A1" s="713" t="s">
        <v>735</v>
      </c>
      <c r="B1" s="713"/>
      <c r="C1" s="713"/>
      <c r="D1" s="713"/>
      <c r="E1" s="713"/>
      <c r="F1" s="713"/>
      <c r="G1" s="713"/>
      <c r="H1" s="713"/>
      <c r="I1" s="713"/>
    </row>
    <row r="2" spans="1:9" ht="18.75">
      <c r="A2" s="714" t="s">
        <v>850</v>
      </c>
      <c r="B2" s="715"/>
      <c r="C2" s="715"/>
      <c r="D2" s="715"/>
      <c r="E2" s="715"/>
      <c r="F2" s="715"/>
      <c r="G2" s="715"/>
      <c r="H2" s="715"/>
      <c r="I2" s="715"/>
    </row>
    <row r="3" spans="1:9" s="22" customFormat="1" ht="31.5">
      <c r="A3" s="18" t="s">
        <v>48</v>
      </c>
      <c r="B3" s="716" t="s">
        <v>2</v>
      </c>
      <c r="C3" s="717"/>
      <c r="D3" s="718"/>
      <c r="E3" s="18" t="s">
        <v>736</v>
      </c>
      <c r="F3" s="18" t="s">
        <v>50</v>
      </c>
      <c r="G3" s="260" t="s">
        <v>737</v>
      </c>
      <c r="H3" s="19" t="s">
        <v>52</v>
      </c>
      <c r="I3" s="21" t="s">
        <v>53</v>
      </c>
    </row>
    <row r="4" spans="1:9" ht="31.5">
      <c r="A4" s="905" t="s">
        <v>738</v>
      </c>
      <c r="B4" s="907" t="s">
        <v>739</v>
      </c>
      <c r="C4" s="905" t="s">
        <v>138</v>
      </c>
      <c r="D4" s="61" t="s">
        <v>139</v>
      </c>
      <c r="E4" s="61" t="s">
        <v>740</v>
      </c>
      <c r="F4" s="261">
        <v>1</v>
      </c>
      <c r="G4" s="262">
        <v>1.5</v>
      </c>
      <c r="H4" s="263">
        <f>G4*F4</f>
        <v>1.5</v>
      </c>
      <c r="I4" s="264"/>
    </row>
    <row r="5" spans="1:9" ht="47.25">
      <c r="A5" s="906"/>
      <c r="B5" s="906"/>
      <c r="C5" s="906"/>
      <c r="D5" s="61" t="s">
        <v>77</v>
      </c>
      <c r="E5" s="61" t="s">
        <v>741</v>
      </c>
      <c r="F5" s="261">
        <v>1</v>
      </c>
      <c r="G5" s="262">
        <v>2</v>
      </c>
      <c r="H5" s="263">
        <f t="shared" ref="H5:H14" si="0">G5*F5</f>
        <v>2</v>
      </c>
      <c r="I5" s="264"/>
    </row>
    <row r="6" spans="1:9" ht="47.25">
      <c r="A6" s="906"/>
      <c r="B6" s="906"/>
      <c r="C6" s="906"/>
      <c r="D6" s="61" t="s">
        <v>77</v>
      </c>
      <c r="E6" s="61" t="s">
        <v>742</v>
      </c>
      <c r="F6" s="261">
        <v>1</v>
      </c>
      <c r="G6" s="262">
        <v>1.5</v>
      </c>
      <c r="H6" s="263">
        <f t="shared" si="0"/>
        <v>1.5</v>
      </c>
      <c r="I6" s="264"/>
    </row>
    <row r="7" spans="1:9" ht="31.5">
      <c r="A7" s="906"/>
      <c r="B7" s="906"/>
      <c r="C7" s="906"/>
      <c r="D7" s="61" t="s">
        <v>77</v>
      </c>
      <c r="E7" s="61" t="s">
        <v>743</v>
      </c>
      <c r="F7" s="261">
        <v>1</v>
      </c>
      <c r="G7" s="262">
        <v>1.5</v>
      </c>
      <c r="H7" s="263">
        <f t="shared" si="0"/>
        <v>1.5</v>
      </c>
      <c r="I7" s="264"/>
    </row>
    <row r="8" spans="1:9" ht="47.25">
      <c r="A8" s="906"/>
      <c r="B8" s="906"/>
      <c r="C8" s="905" t="s">
        <v>127</v>
      </c>
      <c r="D8" s="61" t="s">
        <v>448</v>
      </c>
      <c r="E8" s="61" t="s">
        <v>744</v>
      </c>
      <c r="F8" s="261">
        <v>1</v>
      </c>
      <c r="G8" s="262">
        <v>0.6</v>
      </c>
      <c r="H8" s="263">
        <f t="shared" si="0"/>
        <v>0.6</v>
      </c>
      <c r="I8" s="264" t="s">
        <v>745</v>
      </c>
    </row>
    <row r="9" spans="1:9" ht="94.5">
      <c r="A9" s="906"/>
      <c r="B9" s="906"/>
      <c r="C9" s="906"/>
      <c r="D9" s="61" t="s">
        <v>77</v>
      </c>
      <c r="E9" s="61" t="s">
        <v>746</v>
      </c>
      <c r="F9" s="261">
        <v>1</v>
      </c>
      <c r="G9" s="262">
        <v>6</v>
      </c>
      <c r="H9" s="263">
        <f t="shared" si="0"/>
        <v>6</v>
      </c>
      <c r="I9" s="264" t="s">
        <v>747</v>
      </c>
    </row>
    <row r="10" spans="1:9" ht="63">
      <c r="A10" s="906"/>
      <c r="B10" s="906"/>
      <c r="C10" s="906"/>
      <c r="D10" s="61" t="s">
        <v>77</v>
      </c>
      <c r="E10" s="61" t="s">
        <v>748</v>
      </c>
      <c r="F10" s="261">
        <v>10</v>
      </c>
      <c r="G10" s="262">
        <v>0.75</v>
      </c>
      <c r="H10" s="263">
        <f t="shared" si="0"/>
        <v>7.5</v>
      </c>
      <c r="I10" s="264" t="s">
        <v>749</v>
      </c>
    </row>
    <row r="11" spans="1:9" ht="78.75">
      <c r="A11" s="906"/>
      <c r="B11" s="906"/>
      <c r="C11" s="906"/>
      <c r="D11" s="61" t="s">
        <v>77</v>
      </c>
      <c r="E11" s="61" t="s">
        <v>750</v>
      </c>
      <c r="F11" s="261">
        <v>3</v>
      </c>
      <c r="G11" s="262">
        <v>3</v>
      </c>
      <c r="H11" s="263">
        <f t="shared" si="0"/>
        <v>9</v>
      </c>
      <c r="I11" s="264" t="s">
        <v>749</v>
      </c>
    </row>
    <row r="12" spans="1:9" ht="47.25">
      <c r="A12" s="906"/>
      <c r="B12" s="906"/>
      <c r="C12" s="906"/>
      <c r="D12" s="61" t="s">
        <v>77</v>
      </c>
      <c r="E12" s="61" t="s">
        <v>751</v>
      </c>
      <c r="F12" s="261">
        <v>4</v>
      </c>
      <c r="G12" s="262">
        <v>0.8</v>
      </c>
      <c r="H12" s="263">
        <f t="shared" si="0"/>
        <v>3.2</v>
      </c>
      <c r="I12" s="264" t="s">
        <v>752</v>
      </c>
    </row>
    <row r="13" spans="1:9" ht="63">
      <c r="A13" s="906"/>
      <c r="B13" s="906"/>
      <c r="C13" s="906"/>
      <c r="D13" s="61" t="s">
        <v>77</v>
      </c>
      <c r="E13" s="61" t="s">
        <v>753</v>
      </c>
      <c r="F13" s="261">
        <v>1</v>
      </c>
      <c r="G13" s="262">
        <v>1.5</v>
      </c>
      <c r="H13" s="263">
        <f t="shared" si="0"/>
        <v>1.5</v>
      </c>
      <c r="I13" s="264" t="s">
        <v>745</v>
      </c>
    </row>
    <row r="14" spans="1:9" ht="47.25">
      <c r="A14" s="906"/>
      <c r="B14" s="906"/>
      <c r="C14" s="906"/>
      <c r="D14" s="61" t="s">
        <v>77</v>
      </c>
      <c r="E14" s="61" t="s">
        <v>754</v>
      </c>
      <c r="F14" s="261">
        <v>1</v>
      </c>
      <c r="G14" s="262">
        <v>2</v>
      </c>
      <c r="H14" s="263">
        <f t="shared" si="0"/>
        <v>2</v>
      </c>
      <c r="I14" s="264"/>
    </row>
    <row r="15" spans="1:9">
      <c r="E15" s="265" t="s">
        <v>755</v>
      </c>
      <c r="F15" s="266"/>
      <c r="G15" s="267"/>
      <c r="H15" s="268">
        <f>SUM(H4:H14)</f>
        <v>36.300000000000004</v>
      </c>
    </row>
    <row r="17" spans="1:9" s="17" customFormat="1">
      <c r="A17" s="667" t="s">
        <v>91</v>
      </c>
      <c r="B17" s="668"/>
      <c r="C17" s="668"/>
      <c r="D17" s="668"/>
      <c r="E17" s="668"/>
      <c r="F17" s="668"/>
      <c r="G17" s="668"/>
      <c r="H17" s="668"/>
      <c r="I17" s="669"/>
    </row>
  </sheetData>
  <mergeCells count="8">
    <mergeCell ref="A17:I17"/>
    <mergeCell ref="A1:I1"/>
    <mergeCell ref="A2:I2"/>
    <mergeCell ref="B3:D3"/>
    <mergeCell ref="A4:A14"/>
    <mergeCell ref="B4:B14"/>
    <mergeCell ref="C4:C7"/>
    <mergeCell ref="C8:C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9F6B-C8E6-4D16-A889-EA2AD0397528}">
  <dimension ref="A1:I109"/>
  <sheetViews>
    <sheetView workbookViewId="0">
      <selection activeCell="E72" sqref="E72"/>
    </sheetView>
  </sheetViews>
  <sheetFormatPr defaultRowHeight="15.75"/>
  <cols>
    <col min="1" max="1" width="5.140625" style="26" bestFit="1" customWidth="1"/>
    <col min="2" max="2" width="24.7109375" style="1" customWidth="1"/>
    <col min="3" max="3" width="20.140625" style="1" customWidth="1"/>
    <col min="4" max="4" width="26.28515625" style="1" customWidth="1"/>
    <col min="5" max="5" width="20" style="1" customWidth="1"/>
    <col min="6" max="6" width="13.7109375" style="1" customWidth="1"/>
    <col min="7" max="7" width="20.5703125" style="1" customWidth="1"/>
    <col min="8" max="8" width="16.140625" style="1" customWidth="1"/>
    <col min="9" max="9" width="12.7109375" style="1" bestFit="1" customWidth="1"/>
    <col min="10" max="16384" width="9.140625" style="1"/>
  </cols>
  <sheetData>
    <row r="1" spans="1:9" ht="56.25" customHeight="1">
      <c r="A1" s="713" t="s">
        <v>791</v>
      </c>
      <c r="B1" s="713"/>
      <c r="C1" s="713"/>
      <c r="D1" s="713"/>
      <c r="E1" s="713"/>
      <c r="F1" s="713"/>
      <c r="G1" s="713"/>
      <c r="H1" s="713"/>
      <c r="I1" s="713"/>
    </row>
    <row r="2" spans="1:9" ht="19.5" customHeight="1">
      <c r="A2" s="714" t="s">
        <v>792</v>
      </c>
      <c r="B2" s="715"/>
      <c r="C2" s="715"/>
      <c r="D2" s="715"/>
      <c r="E2" s="715"/>
      <c r="F2" s="715"/>
      <c r="G2" s="715"/>
      <c r="H2" s="715"/>
      <c r="I2" s="715"/>
    </row>
    <row r="3" spans="1:9" s="22" customFormat="1" ht="34.5" customHeight="1">
      <c r="A3" s="18" t="s">
        <v>48</v>
      </c>
      <c r="B3" s="716" t="s">
        <v>2</v>
      </c>
      <c r="C3" s="717"/>
      <c r="D3" s="718"/>
      <c r="E3" s="20" t="s">
        <v>49</v>
      </c>
      <c r="F3" s="18" t="s">
        <v>50</v>
      </c>
      <c r="G3" s="20" t="s">
        <v>51</v>
      </c>
      <c r="H3" s="19" t="s">
        <v>52</v>
      </c>
      <c r="I3" s="21" t="s">
        <v>53</v>
      </c>
    </row>
    <row r="4" spans="1:9" s="4" customFormat="1" ht="17.25" customHeight="1">
      <c r="A4" s="700">
        <v>1</v>
      </c>
      <c r="B4" s="554" t="s">
        <v>6</v>
      </c>
      <c r="C4" s="554" t="s">
        <v>7</v>
      </c>
      <c r="D4" s="5" t="s">
        <v>8</v>
      </c>
      <c r="E4" s="319" t="s">
        <v>511</v>
      </c>
      <c r="F4" s="39">
        <v>1</v>
      </c>
      <c r="G4" s="39" t="s">
        <v>793</v>
      </c>
      <c r="H4" s="319" t="s">
        <v>794</v>
      </c>
      <c r="I4" s="13"/>
    </row>
    <row r="5" spans="1:9" s="4" customFormat="1" ht="17.25" customHeight="1">
      <c r="A5" s="701"/>
      <c r="B5" s="555"/>
      <c r="C5" s="555"/>
      <c r="D5" s="5" t="s">
        <v>9</v>
      </c>
      <c r="E5" s="6"/>
      <c r="F5" s="6"/>
      <c r="G5" s="6"/>
      <c r="H5" s="12"/>
      <c r="I5" s="13"/>
    </row>
    <row r="6" spans="1:9" s="4" customFormat="1" ht="17.25" customHeight="1">
      <c r="A6" s="701"/>
      <c r="B6" s="555"/>
      <c r="C6" s="555"/>
      <c r="D6" s="5" t="s">
        <v>10</v>
      </c>
      <c r="E6" s="6"/>
      <c r="F6" s="6"/>
      <c r="G6" s="6"/>
      <c r="H6" s="12"/>
      <c r="I6" s="13"/>
    </row>
    <row r="7" spans="1:9" s="4" customFormat="1" ht="17.25" customHeight="1">
      <c r="A7" s="701"/>
      <c r="B7" s="555"/>
      <c r="C7" s="556"/>
      <c r="D7" s="5" t="s">
        <v>11</v>
      </c>
      <c r="E7" s="6"/>
      <c r="F7" s="6"/>
      <c r="G7" s="6"/>
      <c r="H7" s="12"/>
      <c r="I7" s="13"/>
    </row>
    <row r="8" spans="1:9" s="4" customFormat="1" ht="17.25" customHeight="1">
      <c r="A8" s="701"/>
      <c r="B8" s="555"/>
      <c r="C8" s="554" t="s">
        <v>12</v>
      </c>
      <c r="D8" s="5" t="s">
        <v>13</v>
      </c>
      <c r="E8" s="6"/>
      <c r="F8" s="6"/>
      <c r="G8" s="6"/>
      <c r="H8" s="12"/>
      <c r="I8" s="13"/>
    </row>
    <row r="9" spans="1:9" s="4" customFormat="1" ht="17.25" customHeight="1">
      <c r="A9" s="701"/>
      <c r="B9" s="555"/>
      <c r="C9" s="555"/>
      <c r="D9" s="5" t="s">
        <v>14</v>
      </c>
      <c r="E9" s="6"/>
      <c r="F9" s="6"/>
      <c r="G9" s="6"/>
      <c r="H9" s="12"/>
      <c r="I9" s="13"/>
    </row>
    <row r="10" spans="1:9" s="4" customFormat="1" ht="31.15" customHeight="1">
      <c r="A10" s="701"/>
      <c r="B10" s="555"/>
      <c r="C10" s="555"/>
      <c r="D10" s="5" t="s">
        <v>15</v>
      </c>
      <c r="E10" s="39" t="s">
        <v>795</v>
      </c>
      <c r="F10" s="39" t="s">
        <v>796</v>
      </c>
      <c r="G10" s="6"/>
      <c r="H10" s="319" t="s">
        <v>797</v>
      </c>
      <c r="I10" s="13"/>
    </row>
    <row r="11" spans="1:9" s="4" customFormat="1" ht="17.25" customHeight="1">
      <c r="A11" s="710"/>
      <c r="B11" s="556"/>
      <c r="C11" s="556"/>
      <c r="D11" s="5" t="s">
        <v>11</v>
      </c>
      <c r="E11" s="6"/>
      <c r="F11" s="6"/>
      <c r="G11" s="6"/>
      <c r="H11" s="12"/>
      <c r="I11" s="13"/>
    </row>
    <row r="12" spans="1:9" s="4" customFormat="1" ht="21.2" customHeight="1">
      <c r="A12" s="700">
        <v>2</v>
      </c>
      <c r="B12" s="554" t="s">
        <v>16</v>
      </c>
      <c r="C12" s="5" t="s">
        <v>7</v>
      </c>
      <c r="D12" s="5" t="s">
        <v>8</v>
      </c>
      <c r="E12" s="6"/>
      <c r="F12" s="6"/>
      <c r="G12" s="6"/>
      <c r="H12" s="12"/>
      <c r="I12" s="13"/>
    </row>
    <row r="13" spans="1:9" s="4" customFormat="1" ht="33" customHeight="1">
      <c r="A13" s="701"/>
      <c r="B13" s="555"/>
      <c r="C13" s="554" t="s">
        <v>12</v>
      </c>
      <c r="D13" s="5" t="s">
        <v>17</v>
      </c>
      <c r="E13" s="39" t="s">
        <v>798</v>
      </c>
      <c r="F13" s="39" t="s">
        <v>799</v>
      </c>
      <c r="G13" s="6"/>
      <c r="H13" s="39" t="s">
        <v>800</v>
      </c>
      <c r="I13" s="13"/>
    </row>
    <row r="14" spans="1:9" s="4" customFormat="1" ht="17.25" customHeight="1">
      <c r="A14" s="701"/>
      <c r="B14" s="555"/>
      <c r="C14" s="555"/>
      <c r="D14" s="5" t="s">
        <v>18</v>
      </c>
      <c r="E14" s="6"/>
      <c r="F14" s="6"/>
      <c r="G14" s="6"/>
      <c r="H14" s="12"/>
      <c r="I14" s="13"/>
    </row>
    <row r="15" spans="1:9" s="4" customFormat="1" ht="17.25" customHeight="1">
      <c r="A15" s="710"/>
      <c r="B15" s="556"/>
      <c r="C15" s="556"/>
      <c r="D15" s="5" t="s">
        <v>11</v>
      </c>
      <c r="E15" s="6"/>
      <c r="F15" s="6"/>
      <c r="G15" s="6"/>
      <c r="H15" s="12"/>
      <c r="I15" s="13"/>
    </row>
    <row r="16" spans="1:9" s="4" customFormat="1" ht="21.2" customHeight="1">
      <c r="A16" s="700">
        <v>3</v>
      </c>
      <c r="B16" s="554" t="s">
        <v>54</v>
      </c>
      <c r="C16" s="5" t="s">
        <v>7</v>
      </c>
      <c r="D16" s="5" t="s">
        <v>8</v>
      </c>
      <c r="E16" s="6"/>
      <c r="F16" s="6"/>
      <c r="G16" s="6"/>
      <c r="H16" s="12"/>
      <c r="I16" s="13"/>
    </row>
    <row r="17" spans="1:9" s="4" customFormat="1" ht="37.15" customHeight="1">
      <c r="A17" s="701"/>
      <c r="B17" s="555"/>
      <c r="C17" s="554" t="s">
        <v>12</v>
      </c>
      <c r="D17" s="5" t="s">
        <v>17</v>
      </c>
      <c r="E17" s="39" t="s">
        <v>801</v>
      </c>
      <c r="F17" s="39" t="s">
        <v>802</v>
      </c>
      <c r="G17" s="319" t="s">
        <v>803</v>
      </c>
      <c r="H17" s="319" t="s">
        <v>804</v>
      </c>
      <c r="I17" s="13"/>
    </row>
    <row r="18" spans="1:9" s="4" customFormat="1" ht="17.25" customHeight="1">
      <c r="A18" s="701"/>
      <c r="B18" s="555"/>
      <c r="C18" s="555"/>
      <c r="D18" s="5" t="s">
        <v>18</v>
      </c>
      <c r="E18" s="39" t="s">
        <v>805</v>
      </c>
      <c r="F18" s="39" t="s">
        <v>806</v>
      </c>
      <c r="G18" s="6"/>
      <c r="H18" s="39" t="s">
        <v>807</v>
      </c>
      <c r="I18" s="13"/>
    </row>
    <row r="19" spans="1:9" s="4" customFormat="1" ht="17.25" customHeight="1">
      <c r="A19" s="701"/>
      <c r="B19" s="555"/>
      <c r="C19" s="555"/>
      <c r="D19" s="5" t="s">
        <v>19</v>
      </c>
      <c r="E19" s="39" t="s">
        <v>808</v>
      </c>
      <c r="F19" s="39" t="s">
        <v>806</v>
      </c>
      <c r="G19" s="6"/>
      <c r="H19" s="39" t="s">
        <v>807</v>
      </c>
      <c r="I19" s="13"/>
    </row>
    <row r="20" spans="1:9" s="4" customFormat="1" ht="17.25" customHeight="1">
      <c r="A20" s="710"/>
      <c r="B20" s="556"/>
      <c r="C20" s="556"/>
      <c r="D20" s="5" t="s">
        <v>11</v>
      </c>
      <c r="E20" s="6"/>
      <c r="F20" s="6"/>
      <c r="G20" s="6"/>
      <c r="H20" s="12"/>
      <c r="I20" s="13"/>
    </row>
    <row r="21" spans="1:9" s="4" customFormat="1" ht="21.2" customHeight="1">
      <c r="A21" s="700">
        <v>4</v>
      </c>
      <c r="B21" s="554" t="s">
        <v>20</v>
      </c>
      <c r="C21" s="5" t="s">
        <v>7</v>
      </c>
      <c r="D21" s="5" t="s">
        <v>8</v>
      </c>
      <c r="E21" s="6"/>
      <c r="F21" s="6"/>
      <c r="G21" s="6"/>
      <c r="H21" s="12"/>
      <c r="I21" s="13"/>
    </row>
    <row r="22" spans="1:9" s="4" customFormat="1" ht="17.25" customHeight="1">
      <c r="A22" s="701"/>
      <c r="B22" s="555"/>
      <c r="C22" s="554" t="s">
        <v>12</v>
      </c>
      <c r="D22" s="5" t="s">
        <v>17</v>
      </c>
      <c r="E22" s="6"/>
      <c r="F22" s="6"/>
      <c r="G22" s="6"/>
      <c r="H22" s="12"/>
      <c r="I22" s="13"/>
    </row>
    <row r="23" spans="1:9" s="4" customFormat="1" ht="17.25" customHeight="1">
      <c r="A23" s="701"/>
      <c r="B23" s="555"/>
      <c r="C23" s="555"/>
      <c r="D23" s="5" t="s">
        <v>18</v>
      </c>
      <c r="E23" s="6"/>
      <c r="F23" s="6"/>
      <c r="G23" s="6"/>
      <c r="H23" s="12"/>
      <c r="I23" s="13"/>
    </row>
    <row r="24" spans="1:9" s="4" customFormat="1" ht="17.25" customHeight="1">
      <c r="A24" s="710"/>
      <c r="B24" s="556"/>
      <c r="C24" s="556"/>
      <c r="D24" s="5" t="s">
        <v>11</v>
      </c>
      <c r="E24" s="6"/>
      <c r="F24" s="6"/>
      <c r="G24" s="6"/>
      <c r="H24" s="12"/>
      <c r="I24" s="13"/>
    </row>
    <row r="25" spans="1:9" s="4" customFormat="1" ht="17.25" customHeight="1">
      <c r="A25" s="700">
        <v>5</v>
      </c>
      <c r="B25" s="554" t="s">
        <v>21</v>
      </c>
      <c r="C25" s="554" t="s">
        <v>7</v>
      </c>
      <c r="D25" s="5" t="s">
        <v>8</v>
      </c>
      <c r="E25" s="6"/>
      <c r="F25" s="6"/>
      <c r="G25" s="6"/>
      <c r="H25" s="12"/>
      <c r="I25" s="13"/>
    </row>
    <row r="26" spans="1:9" s="4" customFormat="1" ht="17.25" customHeight="1">
      <c r="A26" s="701"/>
      <c r="B26" s="555"/>
      <c r="C26" s="556"/>
      <c r="D26" s="5" t="s">
        <v>11</v>
      </c>
      <c r="E26" s="6"/>
      <c r="F26" s="6"/>
      <c r="G26" s="6"/>
      <c r="H26" s="12"/>
      <c r="I26" s="13"/>
    </row>
    <row r="27" spans="1:9" s="4" customFormat="1" ht="17.25" customHeight="1">
      <c r="A27" s="701"/>
      <c r="B27" s="555"/>
      <c r="C27" s="554" t="s">
        <v>12</v>
      </c>
      <c r="D27" s="5" t="s">
        <v>22</v>
      </c>
      <c r="E27" s="6"/>
      <c r="F27" s="6"/>
      <c r="G27" s="6"/>
      <c r="H27" s="12"/>
      <c r="I27" s="13"/>
    </row>
    <row r="28" spans="1:9" s="4" customFormat="1" ht="17.25" customHeight="1">
      <c r="A28" s="701"/>
      <c r="B28" s="555"/>
      <c r="C28" s="555"/>
      <c r="D28" s="5" t="s">
        <v>23</v>
      </c>
      <c r="E28" s="6"/>
      <c r="F28" s="6"/>
      <c r="G28" s="6"/>
      <c r="H28" s="12"/>
      <c r="I28" s="13"/>
    </row>
    <row r="29" spans="1:9" s="4" customFormat="1" ht="17.25" customHeight="1">
      <c r="A29" s="701"/>
      <c r="B29" s="555"/>
      <c r="C29" s="555"/>
      <c r="D29" s="5" t="s">
        <v>24</v>
      </c>
      <c r="E29" s="6"/>
      <c r="F29" s="6"/>
      <c r="G29" s="6"/>
      <c r="H29" s="12"/>
      <c r="I29" s="13"/>
    </row>
    <row r="30" spans="1:9" s="4" customFormat="1" ht="17.25" customHeight="1">
      <c r="A30" s="701"/>
      <c r="B30" s="555"/>
      <c r="C30" s="555"/>
      <c r="D30" s="5" t="s">
        <v>55</v>
      </c>
      <c r="E30" s="6"/>
      <c r="F30" s="6"/>
      <c r="G30" s="6"/>
      <c r="H30" s="12"/>
      <c r="I30" s="13"/>
    </row>
    <row r="31" spans="1:9" s="4" customFormat="1" ht="17.25" customHeight="1">
      <c r="A31" s="701"/>
      <c r="B31" s="555"/>
      <c r="C31" s="555"/>
      <c r="D31" s="5" t="s">
        <v>25</v>
      </c>
      <c r="E31" s="6"/>
      <c r="F31" s="6"/>
      <c r="G31" s="6"/>
      <c r="H31" s="12"/>
      <c r="I31" s="13"/>
    </row>
    <row r="32" spans="1:9" s="4" customFormat="1" ht="17.25" customHeight="1">
      <c r="A32" s="710"/>
      <c r="B32" s="556"/>
      <c r="C32" s="556"/>
      <c r="D32" s="5" t="s">
        <v>11</v>
      </c>
      <c r="E32" s="6"/>
      <c r="F32" s="6"/>
      <c r="G32" s="6"/>
      <c r="H32" s="12"/>
      <c r="I32" s="13"/>
    </row>
    <row r="33" spans="1:9" s="4" customFormat="1" ht="17.25" customHeight="1">
      <c r="A33" s="700">
        <v>6</v>
      </c>
      <c r="B33" s="554" t="s">
        <v>56</v>
      </c>
      <c r="C33" s="554" t="s">
        <v>7</v>
      </c>
      <c r="D33" s="5" t="s">
        <v>8</v>
      </c>
      <c r="E33" s="6"/>
      <c r="F33" s="6"/>
      <c r="G33" s="6"/>
      <c r="H33" s="12"/>
      <c r="I33" s="13"/>
    </row>
    <row r="34" spans="1:9" s="4" customFormat="1" ht="17.25" customHeight="1">
      <c r="A34" s="701"/>
      <c r="B34" s="555"/>
      <c r="C34" s="556"/>
      <c r="D34" s="5" t="s">
        <v>11</v>
      </c>
      <c r="E34" s="6"/>
      <c r="F34" s="6"/>
      <c r="G34" s="6"/>
      <c r="H34" s="12"/>
      <c r="I34" s="13"/>
    </row>
    <row r="35" spans="1:9" s="4" customFormat="1" ht="17.25" customHeight="1">
      <c r="A35" s="701"/>
      <c r="B35" s="555"/>
      <c r="C35" s="554" t="s">
        <v>12</v>
      </c>
      <c r="D35" s="5" t="s">
        <v>15</v>
      </c>
      <c r="E35" s="6"/>
      <c r="F35" s="6"/>
      <c r="G35" s="6"/>
      <c r="H35" s="12"/>
      <c r="I35" s="13"/>
    </row>
    <row r="36" spans="1:9" s="4" customFormat="1" ht="17.25" customHeight="1">
      <c r="A36" s="710"/>
      <c r="B36" s="556"/>
      <c r="C36" s="556"/>
      <c r="D36" s="5" t="s">
        <v>11</v>
      </c>
      <c r="E36" s="6"/>
      <c r="F36" s="6"/>
      <c r="G36" s="6"/>
      <c r="H36" s="12"/>
      <c r="I36" s="13"/>
    </row>
    <row r="37" spans="1:9" s="4" customFormat="1" ht="17.25" customHeight="1">
      <c r="A37" s="700">
        <v>7</v>
      </c>
      <c r="B37" s="554" t="s">
        <v>26</v>
      </c>
      <c r="C37" s="554" t="s">
        <v>7</v>
      </c>
      <c r="D37" s="5" t="s">
        <v>8</v>
      </c>
      <c r="E37" s="6"/>
      <c r="F37" s="6"/>
      <c r="G37" s="6"/>
      <c r="H37" s="12"/>
      <c r="I37" s="13"/>
    </row>
    <row r="38" spans="1:9" s="4" customFormat="1" ht="17.25" customHeight="1">
      <c r="A38" s="701"/>
      <c r="B38" s="555"/>
      <c r="C38" s="556"/>
      <c r="D38" s="5" t="s">
        <v>11</v>
      </c>
      <c r="E38" s="6"/>
      <c r="F38" s="6"/>
      <c r="G38" s="6"/>
      <c r="H38" s="12"/>
      <c r="I38" s="13"/>
    </row>
    <row r="39" spans="1:9" s="4" customFormat="1" ht="17.25" customHeight="1">
      <c r="A39" s="701"/>
      <c r="B39" s="555"/>
      <c r="C39" s="554" t="s">
        <v>12</v>
      </c>
      <c r="D39" s="5" t="s">
        <v>8</v>
      </c>
      <c r="E39" s="6"/>
      <c r="F39" s="6"/>
      <c r="G39" s="6"/>
      <c r="H39" s="12"/>
      <c r="I39" s="13"/>
    </row>
    <row r="40" spans="1:9" s="4" customFormat="1" ht="17.25" customHeight="1">
      <c r="A40" s="710"/>
      <c r="B40" s="556"/>
      <c r="C40" s="556"/>
      <c r="D40" s="5" t="s">
        <v>11</v>
      </c>
      <c r="E40" s="6"/>
      <c r="F40" s="6"/>
      <c r="G40" s="6"/>
      <c r="H40" s="12"/>
      <c r="I40" s="13"/>
    </row>
    <row r="41" spans="1:9" s="4" customFormat="1" ht="17.25" customHeight="1">
      <c r="A41" s="700">
        <v>8</v>
      </c>
      <c r="B41" s="554" t="s">
        <v>27</v>
      </c>
      <c r="C41" s="554" t="s">
        <v>7</v>
      </c>
      <c r="D41" s="5" t="s">
        <v>8</v>
      </c>
      <c r="E41" s="6"/>
      <c r="F41" s="6"/>
      <c r="G41" s="6"/>
      <c r="H41" s="12"/>
      <c r="I41" s="13"/>
    </row>
    <row r="42" spans="1:9" s="4" customFormat="1" ht="17.25" customHeight="1">
      <c r="A42" s="701"/>
      <c r="B42" s="555"/>
      <c r="C42" s="556"/>
      <c r="D42" s="5" t="s">
        <v>11</v>
      </c>
      <c r="E42" s="6"/>
      <c r="F42" s="6"/>
      <c r="G42" s="6"/>
      <c r="H42" s="12"/>
      <c r="I42" s="13"/>
    </row>
    <row r="43" spans="1:9" s="4" customFormat="1" ht="17.25" customHeight="1">
      <c r="A43" s="701"/>
      <c r="B43" s="555"/>
      <c r="C43" s="554" t="s">
        <v>12</v>
      </c>
      <c r="D43" s="5" t="s">
        <v>8</v>
      </c>
      <c r="E43" s="6"/>
      <c r="F43" s="6"/>
      <c r="G43" s="6"/>
      <c r="H43" s="12"/>
      <c r="I43" s="13"/>
    </row>
    <row r="44" spans="1:9" s="4" customFormat="1" ht="17.25" customHeight="1">
      <c r="A44" s="710"/>
      <c r="B44" s="556"/>
      <c r="C44" s="556"/>
      <c r="D44" s="5" t="s">
        <v>11</v>
      </c>
      <c r="E44" s="6"/>
      <c r="F44" s="6"/>
      <c r="G44" s="6"/>
      <c r="H44" s="12"/>
      <c r="I44" s="13"/>
    </row>
    <row r="45" spans="1:9" s="4" customFormat="1" ht="17.25" customHeight="1">
      <c r="A45" s="700">
        <v>9</v>
      </c>
      <c r="B45" s="554" t="s">
        <v>28</v>
      </c>
      <c r="C45" s="554" t="s">
        <v>7</v>
      </c>
      <c r="D45" s="5" t="s">
        <v>8</v>
      </c>
      <c r="E45" s="6"/>
      <c r="F45" s="6"/>
      <c r="G45" s="6"/>
      <c r="H45" s="12"/>
      <c r="I45" s="13"/>
    </row>
    <row r="46" spans="1:9" s="4" customFormat="1" ht="17.25" customHeight="1">
      <c r="A46" s="701"/>
      <c r="B46" s="555"/>
      <c r="C46" s="556"/>
      <c r="D46" s="5" t="s">
        <v>11</v>
      </c>
      <c r="E46" s="6"/>
      <c r="F46" s="6"/>
      <c r="G46" s="6"/>
      <c r="H46" s="12"/>
      <c r="I46" s="13"/>
    </row>
    <row r="47" spans="1:9" s="4" customFormat="1" ht="17.25" customHeight="1">
      <c r="A47" s="701"/>
      <c r="B47" s="555"/>
      <c r="C47" s="554" t="s">
        <v>12</v>
      </c>
      <c r="D47" s="5" t="s">
        <v>8</v>
      </c>
      <c r="E47" s="6"/>
      <c r="F47" s="6"/>
      <c r="G47" s="6"/>
      <c r="H47" s="12"/>
      <c r="I47" s="13"/>
    </row>
    <row r="48" spans="1:9" s="4" customFormat="1" ht="17.25" customHeight="1">
      <c r="A48" s="710"/>
      <c r="B48" s="556"/>
      <c r="C48" s="556"/>
      <c r="D48" s="5" t="s">
        <v>11</v>
      </c>
      <c r="E48" s="6"/>
      <c r="F48" s="6"/>
      <c r="G48" s="6"/>
      <c r="H48" s="12"/>
      <c r="I48" s="13"/>
    </row>
    <row r="49" spans="1:9" s="4" customFormat="1" ht="17.25" customHeight="1">
      <c r="A49" s="700">
        <v>10</v>
      </c>
      <c r="B49" s="554" t="s">
        <v>57</v>
      </c>
      <c r="C49" s="554" t="s">
        <v>7</v>
      </c>
      <c r="D49" s="11" t="s">
        <v>58</v>
      </c>
      <c r="E49" s="6"/>
      <c r="F49" s="6"/>
      <c r="G49" s="6"/>
      <c r="H49" s="12"/>
      <c r="I49" s="13"/>
    </row>
    <row r="50" spans="1:9" s="4" customFormat="1" ht="17.25" customHeight="1">
      <c r="A50" s="701"/>
      <c r="B50" s="555"/>
      <c r="C50" s="556"/>
      <c r="D50" s="7" t="s">
        <v>11</v>
      </c>
      <c r="E50" s="6"/>
      <c r="F50" s="6"/>
      <c r="G50" s="6"/>
      <c r="H50" s="12"/>
      <c r="I50" s="13"/>
    </row>
    <row r="51" spans="1:9" s="4" customFormat="1" ht="17.25" customHeight="1">
      <c r="A51" s="701"/>
      <c r="B51" s="555"/>
      <c r="C51" s="554" t="s">
        <v>12</v>
      </c>
      <c r="D51" s="11" t="s">
        <v>31</v>
      </c>
      <c r="E51" s="6"/>
      <c r="F51" s="6"/>
      <c r="G51" s="6"/>
      <c r="H51" s="12"/>
      <c r="I51" s="13"/>
    </row>
    <row r="52" spans="1:9" s="4" customFormat="1" ht="17.25" customHeight="1">
      <c r="A52" s="710"/>
      <c r="B52" s="556"/>
      <c r="C52" s="556"/>
      <c r="D52" s="7" t="s">
        <v>11</v>
      </c>
      <c r="E52" s="6"/>
      <c r="F52" s="6"/>
      <c r="G52" s="6"/>
      <c r="H52" s="12"/>
      <c r="I52" s="13"/>
    </row>
    <row r="53" spans="1:9" s="4" customFormat="1" ht="17.25" customHeight="1">
      <c r="A53" s="700">
        <v>11</v>
      </c>
      <c r="B53" s="554" t="s">
        <v>32</v>
      </c>
      <c r="C53" s="520" t="s">
        <v>7</v>
      </c>
      <c r="D53" s="509"/>
      <c r="E53" s="6"/>
      <c r="F53" s="6"/>
      <c r="G53" s="6"/>
      <c r="H53" s="12"/>
      <c r="I53" s="13"/>
    </row>
    <row r="54" spans="1:9" s="4" customFormat="1" ht="17.25" customHeight="1">
      <c r="A54" s="710"/>
      <c r="B54" s="556"/>
      <c r="C54" s="520" t="s">
        <v>12</v>
      </c>
      <c r="D54" s="509"/>
      <c r="E54" s="6"/>
      <c r="F54" s="6"/>
      <c r="G54" s="6"/>
      <c r="H54" s="12"/>
      <c r="I54" s="13"/>
    </row>
    <row r="55" spans="1:9" s="4" customFormat="1" ht="17.25" customHeight="1">
      <c r="A55" s="700">
        <v>12</v>
      </c>
      <c r="B55" s="711" t="s">
        <v>59</v>
      </c>
      <c r="C55" s="520" t="s">
        <v>7</v>
      </c>
      <c r="D55" s="509"/>
      <c r="E55" s="6"/>
      <c r="F55" s="6"/>
      <c r="G55" s="6"/>
      <c r="H55" s="12"/>
      <c r="I55" s="13"/>
    </row>
    <row r="56" spans="1:9" s="4" customFormat="1" ht="17.25" customHeight="1">
      <c r="A56" s="710"/>
      <c r="B56" s="712"/>
      <c r="C56" s="520" t="s">
        <v>12</v>
      </c>
      <c r="D56" s="509"/>
      <c r="E56" s="6"/>
      <c r="F56" s="6"/>
      <c r="G56" s="6"/>
      <c r="H56" s="12"/>
      <c r="I56" s="13"/>
    </row>
    <row r="57" spans="1:9" s="4" customFormat="1" ht="17.25" customHeight="1">
      <c r="A57" s="700">
        <v>13</v>
      </c>
      <c r="B57" s="554" t="s">
        <v>33</v>
      </c>
      <c r="C57" s="520" t="s">
        <v>7</v>
      </c>
      <c r="D57" s="509"/>
      <c r="E57" s="6"/>
      <c r="F57" s="6"/>
      <c r="G57" s="6"/>
      <c r="H57" s="12"/>
      <c r="I57" s="13"/>
    </row>
    <row r="58" spans="1:9" s="4" customFormat="1" ht="17.25" customHeight="1">
      <c r="A58" s="710"/>
      <c r="B58" s="556"/>
      <c r="C58" s="520" t="s">
        <v>12</v>
      </c>
      <c r="D58" s="509"/>
      <c r="E58" s="6"/>
      <c r="F58" s="6"/>
      <c r="G58" s="6"/>
      <c r="H58" s="12"/>
      <c r="I58" s="13"/>
    </row>
    <row r="59" spans="1:9" s="4" customFormat="1" ht="17.25" customHeight="1">
      <c r="A59" s="700">
        <v>14</v>
      </c>
      <c r="B59" s="554" t="s">
        <v>34</v>
      </c>
      <c r="C59" s="554" t="s">
        <v>7</v>
      </c>
      <c r="D59" s="5" t="s">
        <v>8</v>
      </c>
      <c r="E59" s="6"/>
      <c r="F59" s="6"/>
      <c r="G59" s="6"/>
      <c r="H59" s="12"/>
      <c r="I59" s="13"/>
    </row>
    <row r="60" spans="1:9" s="4" customFormat="1" ht="17.25" customHeight="1">
      <c r="A60" s="701"/>
      <c r="B60" s="555"/>
      <c r="C60" s="556"/>
      <c r="D60" s="5" t="s">
        <v>11</v>
      </c>
      <c r="E60" s="6"/>
      <c r="F60" s="6"/>
      <c r="G60" s="6"/>
      <c r="H60" s="12"/>
      <c r="I60" s="13"/>
    </row>
    <row r="61" spans="1:9" s="4" customFormat="1" ht="17.25" customHeight="1">
      <c r="A61" s="701"/>
      <c r="B61" s="555"/>
      <c r="C61" s="554" t="s">
        <v>12</v>
      </c>
      <c r="D61" s="5" t="s">
        <v>8</v>
      </c>
      <c r="E61" s="6"/>
      <c r="F61" s="6"/>
      <c r="G61" s="6"/>
      <c r="H61" s="12"/>
      <c r="I61" s="13"/>
    </row>
    <row r="62" spans="1:9" s="4" customFormat="1" ht="17.25" customHeight="1">
      <c r="A62" s="710"/>
      <c r="B62" s="556"/>
      <c r="C62" s="556"/>
      <c r="D62" s="5" t="s">
        <v>11</v>
      </c>
      <c r="E62" s="6"/>
      <c r="F62" s="6"/>
      <c r="G62" s="6"/>
      <c r="H62" s="12"/>
      <c r="I62" s="13"/>
    </row>
    <row r="63" spans="1:9" s="4" customFormat="1">
      <c r="A63" s="706">
        <v>15</v>
      </c>
      <c r="B63" s="554" t="s">
        <v>35</v>
      </c>
      <c r="C63" s="520" t="s">
        <v>7</v>
      </c>
      <c r="D63" s="509"/>
      <c r="E63" s="6"/>
      <c r="F63" s="6"/>
      <c r="G63" s="6"/>
      <c r="H63" s="12"/>
      <c r="I63" s="13"/>
    </row>
    <row r="64" spans="1:9" s="4" customFormat="1">
      <c r="A64" s="707"/>
      <c r="B64" s="555"/>
      <c r="C64" s="708" t="s">
        <v>12</v>
      </c>
      <c r="D64" s="709"/>
      <c r="E64" s="8"/>
      <c r="F64" s="8"/>
      <c r="G64" s="8"/>
      <c r="H64" s="14"/>
      <c r="I64" s="13"/>
    </row>
    <row r="65" spans="1:9" s="4" customFormat="1">
      <c r="A65" s="706">
        <v>16</v>
      </c>
      <c r="B65" s="554" t="s">
        <v>36</v>
      </c>
      <c r="C65" s="520" t="s">
        <v>7</v>
      </c>
      <c r="D65" s="509"/>
      <c r="E65" s="6"/>
      <c r="F65" s="6"/>
      <c r="G65" s="6"/>
      <c r="H65" s="12"/>
      <c r="I65" s="13"/>
    </row>
    <row r="66" spans="1:9" s="4" customFormat="1">
      <c r="A66" s="707"/>
      <c r="B66" s="555"/>
      <c r="C66" s="708" t="s">
        <v>12</v>
      </c>
      <c r="D66" s="709"/>
      <c r="E66" s="8"/>
      <c r="F66" s="8"/>
      <c r="G66" s="8"/>
      <c r="H66" s="14"/>
      <c r="I66" s="13"/>
    </row>
    <row r="67" spans="1:9" s="4" customFormat="1">
      <c r="A67" s="706">
        <v>17</v>
      </c>
      <c r="B67" s="554" t="s">
        <v>37</v>
      </c>
      <c r="C67" s="520" t="s">
        <v>7</v>
      </c>
      <c r="D67" s="509"/>
      <c r="E67" s="6"/>
      <c r="F67" s="6"/>
      <c r="G67" s="6"/>
      <c r="H67" s="12"/>
      <c r="I67" s="13"/>
    </row>
    <row r="68" spans="1:9" s="4" customFormat="1">
      <c r="A68" s="707"/>
      <c r="B68" s="555"/>
      <c r="C68" s="708" t="s">
        <v>12</v>
      </c>
      <c r="D68" s="709"/>
      <c r="E68" s="8"/>
      <c r="F68" s="8"/>
      <c r="G68" s="8"/>
      <c r="H68" s="14"/>
      <c r="I68" s="13"/>
    </row>
    <row r="69" spans="1:9" s="4" customFormat="1">
      <c r="A69" s="706">
        <v>18</v>
      </c>
      <c r="B69" s="554" t="s">
        <v>38</v>
      </c>
      <c r="C69" s="520" t="s">
        <v>7</v>
      </c>
      <c r="D69" s="509"/>
      <c r="E69" s="6"/>
      <c r="F69" s="6"/>
      <c r="G69" s="6"/>
      <c r="H69" s="12"/>
      <c r="I69" s="13"/>
    </row>
    <row r="70" spans="1:9" s="4" customFormat="1">
      <c r="A70" s="707"/>
      <c r="B70" s="555"/>
      <c r="C70" s="708" t="s">
        <v>12</v>
      </c>
      <c r="D70" s="709"/>
      <c r="E70" s="8"/>
      <c r="F70" s="8"/>
      <c r="G70" s="8"/>
      <c r="H70" s="14"/>
      <c r="I70" s="13"/>
    </row>
    <row r="71" spans="1:9" s="4" customFormat="1">
      <c r="A71" s="706">
        <v>19</v>
      </c>
      <c r="B71" s="554" t="s">
        <v>39</v>
      </c>
      <c r="C71" s="520" t="s">
        <v>7</v>
      </c>
      <c r="D71" s="509"/>
      <c r="E71" s="6"/>
      <c r="F71" s="6"/>
      <c r="G71" s="6"/>
      <c r="H71" s="12"/>
      <c r="I71" s="13"/>
    </row>
    <row r="72" spans="1:9" s="4" customFormat="1">
      <c r="A72" s="707"/>
      <c r="B72" s="555"/>
      <c r="C72" s="708" t="s">
        <v>12</v>
      </c>
      <c r="D72" s="709"/>
      <c r="E72" s="8"/>
      <c r="F72" s="8"/>
      <c r="G72" s="8"/>
      <c r="H72" s="14"/>
      <c r="I72" s="13"/>
    </row>
    <row r="73" spans="1:9" s="4" customFormat="1">
      <c r="A73" s="706">
        <v>20</v>
      </c>
      <c r="B73" s="554" t="s">
        <v>40</v>
      </c>
      <c r="C73" s="520" t="s">
        <v>7</v>
      </c>
      <c r="D73" s="509"/>
      <c r="E73" s="6"/>
      <c r="F73" s="6"/>
      <c r="G73" s="6"/>
      <c r="H73" s="12"/>
      <c r="I73" s="13"/>
    </row>
    <row r="74" spans="1:9" s="4" customFormat="1">
      <c r="A74" s="707"/>
      <c r="B74" s="555"/>
      <c r="C74" s="708" t="s">
        <v>12</v>
      </c>
      <c r="D74" s="709"/>
      <c r="E74" s="8"/>
      <c r="F74" s="8"/>
      <c r="G74" s="8"/>
      <c r="H74" s="14"/>
      <c r="I74" s="13"/>
    </row>
    <row r="75" spans="1:9" s="4" customFormat="1">
      <c r="A75" s="706">
        <v>21</v>
      </c>
      <c r="B75" s="554" t="s">
        <v>41</v>
      </c>
      <c r="C75" s="520" t="s">
        <v>7</v>
      </c>
      <c r="D75" s="509"/>
      <c r="E75" s="6"/>
      <c r="F75" s="6"/>
      <c r="G75" s="6"/>
      <c r="H75" s="12"/>
      <c r="I75" s="13"/>
    </row>
    <row r="76" spans="1:9" s="4" customFormat="1">
      <c r="A76" s="707"/>
      <c r="B76" s="555"/>
      <c r="C76" s="708" t="s">
        <v>12</v>
      </c>
      <c r="D76" s="709"/>
      <c r="E76" s="8"/>
      <c r="F76" s="8"/>
      <c r="G76" s="8"/>
      <c r="H76" s="14"/>
      <c r="I76" s="13"/>
    </row>
    <row r="77" spans="1:9" s="4" customFormat="1">
      <c r="A77" s="700">
        <v>22</v>
      </c>
      <c r="B77" s="554" t="s">
        <v>60</v>
      </c>
      <c r="C77" s="702" t="s">
        <v>61</v>
      </c>
      <c r="D77" s="703"/>
      <c r="E77" s="6"/>
      <c r="F77" s="6"/>
      <c r="G77" s="6"/>
      <c r="H77" s="12"/>
      <c r="I77" s="13"/>
    </row>
    <row r="78" spans="1:9" s="4" customFormat="1">
      <c r="A78" s="701"/>
      <c r="B78" s="555"/>
      <c r="C78" s="520" t="s">
        <v>62</v>
      </c>
      <c r="D78" s="509"/>
      <c r="E78" s="6"/>
      <c r="F78" s="6"/>
      <c r="G78" s="6"/>
      <c r="H78" s="12"/>
      <c r="I78" s="13"/>
    </row>
    <row r="79" spans="1:9" s="4" customFormat="1">
      <c r="A79" s="701"/>
      <c r="B79" s="555"/>
      <c r="C79" s="520" t="s">
        <v>63</v>
      </c>
      <c r="D79" s="509"/>
      <c r="E79" s="6"/>
      <c r="F79" s="6"/>
      <c r="G79" s="6"/>
      <c r="H79" s="12"/>
      <c r="I79" s="13"/>
    </row>
    <row r="80" spans="1:9" s="4" customFormat="1">
      <c r="A80" s="701"/>
      <c r="B80" s="555"/>
      <c r="C80" s="520" t="s">
        <v>64</v>
      </c>
      <c r="D80" s="509"/>
      <c r="E80" s="6"/>
      <c r="F80" s="6"/>
      <c r="G80" s="6"/>
      <c r="H80" s="12"/>
      <c r="I80" s="13"/>
    </row>
    <row r="81" spans="1:9" s="4" customFormat="1">
      <c r="A81" s="701"/>
      <c r="B81" s="555"/>
      <c r="C81" s="704" t="s">
        <v>65</v>
      </c>
      <c r="D81" s="705"/>
      <c r="E81" s="8"/>
      <c r="F81" s="8"/>
      <c r="G81" s="8"/>
      <c r="H81" s="14"/>
      <c r="I81" s="13"/>
    </row>
    <row r="82" spans="1:9" s="4" customFormat="1">
      <c r="A82" s="491">
        <v>23</v>
      </c>
      <c r="B82" s="480" t="s">
        <v>66</v>
      </c>
      <c r="C82" s="695" t="s">
        <v>67</v>
      </c>
      <c r="D82" s="696"/>
      <c r="E82" s="13"/>
      <c r="F82" s="13"/>
      <c r="G82" s="13"/>
      <c r="H82" s="23"/>
      <c r="I82" s="13"/>
    </row>
    <row r="83" spans="1:9" s="4" customFormat="1">
      <c r="A83" s="491"/>
      <c r="B83" s="480"/>
      <c r="C83" s="695" t="s">
        <v>68</v>
      </c>
      <c r="D83" s="696"/>
      <c r="E83" s="13"/>
      <c r="F83" s="13"/>
      <c r="G83" s="13"/>
      <c r="H83" s="23"/>
      <c r="I83" s="13"/>
    </row>
    <row r="84" spans="1:9" s="4" customFormat="1">
      <c r="A84" s="491"/>
      <c r="B84" s="480"/>
      <c r="C84" s="695" t="s">
        <v>69</v>
      </c>
      <c r="D84" s="696"/>
      <c r="E84" s="13"/>
      <c r="F84" s="13"/>
      <c r="G84" s="13"/>
      <c r="H84" s="23"/>
      <c r="I84" s="13"/>
    </row>
    <row r="85" spans="1:9" s="4" customFormat="1">
      <c r="A85" s="491"/>
      <c r="B85" s="480"/>
      <c r="C85" s="695" t="s">
        <v>70</v>
      </c>
      <c r="D85" s="696"/>
      <c r="E85" s="13"/>
      <c r="F85" s="13"/>
      <c r="G85" s="13"/>
      <c r="H85" s="23"/>
      <c r="I85" s="13"/>
    </row>
    <row r="86" spans="1:9" s="4" customFormat="1">
      <c r="A86" s="491"/>
      <c r="B86" s="480"/>
      <c r="C86" s="695" t="s">
        <v>71</v>
      </c>
      <c r="D86" s="696"/>
      <c r="E86" s="13"/>
      <c r="F86" s="13"/>
      <c r="G86" s="13"/>
      <c r="H86" s="23"/>
      <c r="I86" s="13"/>
    </row>
    <row r="87" spans="1:9" s="4" customFormat="1">
      <c r="A87" s="491"/>
      <c r="B87" s="480"/>
      <c r="C87" s="695" t="s">
        <v>72</v>
      </c>
      <c r="D87" s="696"/>
      <c r="E87" s="13"/>
      <c r="F87" s="13"/>
      <c r="G87" s="13"/>
      <c r="H87" s="23"/>
      <c r="I87" s="13"/>
    </row>
    <row r="88" spans="1:9" s="4" customFormat="1">
      <c r="A88" s="491"/>
      <c r="B88" s="480"/>
      <c r="C88" s="695" t="s">
        <v>73</v>
      </c>
      <c r="D88" s="696"/>
      <c r="E88" s="13"/>
      <c r="F88" s="13"/>
      <c r="G88" s="13"/>
      <c r="H88" s="23"/>
      <c r="I88" s="13"/>
    </row>
    <row r="89" spans="1:9" s="4" customFormat="1">
      <c r="A89" s="491"/>
      <c r="B89" s="480"/>
      <c r="C89" s="695" t="s">
        <v>11</v>
      </c>
      <c r="D89" s="696"/>
      <c r="E89" s="13"/>
      <c r="F89" s="13"/>
      <c r="G89" s="13"/>
      <c r="H89" s="23"/>
      <c r="I89" s="13"/>
    </row>
    <row r="90" spans="1:9" s="4" customFormat="1" ht="31.5" customHeight="1">
      <c r="A90" s="491">
        <v>24</v>
      </c>
      <c r="B90" s="480" t="s">
        <v>74</v>
      </c>
      <c r="C90" s="695" t="s">
        <v>75</v>
      </c>
      <c r="D90" s="696"/>
      <c r="E90" s="13"/>
      <c r="F90" s="13"/>
      <c r="G90" s="13"/>
      <c r="H90" s="23"/>
      <c r="I90" s="13"/>
    </row>
    <row r="91" spans="1:9" s="4" customFormat="1">
      <c r="A91" s="491"/>
      <c r="B91" s="480"/>
      <c r="C91" s="695" t="s">
        <v>76</v>
      </c>
      <c r="D91" s="696"/>
      <c r="E91" s="13"/>
      <c r="F91" s="13"/>
      <c r="G91" s="13"/>
      <c r="H91" s="23"/>
      <c r="I91" s="13"/>
    </row>
    <row r="92" spans="1:9" s="4" customFormat="1">
      <c r="A92" s="491"/>
      <c r="B92" s="480"/>
      <c r="C92" s="695" t="s">
        <v>77</v>
      </c>
      <c r="D92" s="696"/>
      <c r="E92" s="13"/>
      <c r="F92" s="13"/>
      <c r="G92" s="13"/>
      <c r="H92" s="23"/>
      <c r="I92" s="13"/>
    </row>
    <row r="93" spans="1:9" s="4" customFormat="1" ht="15.75" customHeight="1">
      <c r="A93" s="15">
        <v>25</v>
      </c>
      <c r="B93" s="695" t="s">
        <v>42</v>
      </c>
      <c r="C93" s="697"/>
      <c r="D93" s="696"/>
      <c r="E93" s="13"/>
      <c r="F93" s="13"/>
      <c r="G93" s="13"/>
      <c r="H93" s="23"/>
      <c r="I93" s="13"/>
    </row>
    <row r="94" spans="1:9" s="4" customFormat="1">
      <c r="A94" s="491">
        <v>26</v>
      </c>
      <c r="B94" s="480" t="s">
        <v>78</v>
      </c>
      <c r="C94" s="695" t="s">
        <v>79</v>
      </c>
      <c r="D94" s="696"/>
      <c r="E94" s="13"/>
      <c r="F94" s="13"/>
      <c r="G94" s="13"/>
      <c r="H94" s="23"/>
      <c r="I94" s="13"/>
    </row>
    <row r="95" spans="1:9" s="4" customFormat="1">
      <c r="A95" s="491"/>
      <c r="B95" s="480"/>
      <c r="C95" s="695" t="s">
        <v>80</v>
      </c>
      <c r="D95" s="696"/>
      <c r="E95" s="13"/>
      <c r="F95" s="13"/>
      <c r="G95" s="13"/>
      <c r="H95" s="23"/>
      <c r="I95" s="13"/>
    </row>
    <row r="96" spans="1:9" s="4" customFormat="1">
      <c r="A96" s="491"/>
      <c r="B96" s="480"/>
      <c r="C96" s="695" t="s">
        <v>81</v>
      </c>
      <c r="D96" s="696"/>
      <c r="E96" s="13"/>
      <c r="F96" s="13"/>
      <c r="G96" s="13"/>
      <c r="H96" s="23"/>
      <c r="I96" s="13"/>
    </row>
    <row r="97" spans="1:9" s="4" customFormat="1">
      <c r="A97" s="491"/>
      <c r="B97" s="480"/>
      <c r="C97" s="695" t="s">
        <v>82</v>
      </c>
      <c r="D97" s="696"/>
      <c r="E97" s="13"/>
      <c r="F97" s="13"/>
      <c r="G97" s="13"/>
      <c r="H97" s="23"/>
      <c r="I97" s="13"/>
    </row>
    <row r="98" spans="1:9" s="4" customFormat="1">
      <c r="A98" s="491"/>
      <c r="B98" s="480"/>
      <c r="C98" s="695" t="s">
        <v>69</v>
      </c>
      <c r="D98" s="696"/>
      <c r="E98" s="13"/>
      <c r="F98" s="13"/>
      <c r="G98" s="13"/>
      <c r="H98" s="23"/>
      <c r="I98" s="13"/>
    </row>
    <row r="99" spans="1:9" s="4" customFormat="1">
      <c r="A99" s="491"/>
      <c r="B99" s="480"/>
      <c r="C99" s="698" t="s">
        <v>70</v>
      </c>
      <c r="D99" s="699"/>
      <c r="E99" s="13"/>
      <c r="F99" s="13"/>
      <c r="G99" s="13"/>
      <c r="H99" s="23"/>
      <c r="I99" s="13"/>
    </row>
    <row r="100" spans="1:9" s="4" customFormat="1">
      <c r="A100" s="491"/>
      <c r="B100" s="480"/>
      <c r="C100" s="695" t="s">
        <v>83</v>
      </c>
      <c r="D100" s="696"/>
      <c r="E100" s="13"/>
      <c r="F100" s="13"/>
      <c r="G100" s="13"/>
      <c r="H100" s="23"/>
      <c r="I100" s="13"/>
    </row>
    <row r="101" spans="1:9" s="4" customFormat="1">
      <c r="A101" s="491"/>
      <c r="B101" s="480"/>
      <c r="C101" s="695" t="s">
        <v>84</v>
      </c>
      <c r="D101" s="696"/>
      <c r="E101" s="13"/>
      <c r="F101" s="13"/>
      <c r="G101" s="13"/>
      <c r="H101" s="23"/>
      <c r="I101" s="13"/>
    </row>
    <row r="102" spans="1:9" s="4" customFormat="1">
      <c r="A102" s="491"/>
      <c r="B102" s="480"/>
      <c r="C102" s="695" t="s">
        <v>85</v>
      </c>
      <c r="D102" s="696"/>
      <c r="E102" s="13"/>
      <c r="F102" s="13"/>
      <c r="G102" s="13"/>
      <c r="H102" s="23"/>
      <c r="I102" s="13"/>
    </row>
    <row r="103" spans="1:9" s="4" customFormat="1">
      <c r="A103" s="491"/>
      <c r="B103" s="480"/>
      <c r="C103" s="695" t="s">
        <v>86</v>
      </c>
      <c r="D103" s="696"/>
      <c r="E103" s="13"/>
      <c r="F103" s="13"/>
      <c r="G103" s="13"/>
      <c r="H103" s="23"/>
      <c r="I103" s="13"/>
    </row>
    <row r="104" spans="1:9" s="4" customFormat="1">
      <c r="A104" s="491"/>
      <c r="B104" s="480"/>
      <c r="C104" s="695" t="s">
        <v>87</v>
      </c>
      <c r="D104" s="696"/>
      <c r="E104" s="13"/>
      <c r="F104" s="13"/>
      <c r="G104" s="13"/>
      <c r="H104" s="23"/>
      <c r="I104" s="13"/>
    </row>
    <row r="105" spans="1:9" s="4" customFormat="1">
      <c r="A105" s="491"/>
      <c r="B105" s="480"/>
      <c r="C105" s="695" t="s">
        <v>88</v>
      </c>
      <c r="D105" s="696"/>
      <c r="E105" s="13"/>
      <c r="F105" s="13"/>
      <c r="G105" s="13"/>
      <c r="H105" s="23"/>
      <c r="I105" s="13"/>
    </row>
    <row r="106" spans="1:9" s="4" customFormat="1" ht="15.75" customHeight="1">
      <c r="A106" s="15">
        <v>27</v>
      </c>
      <c r="B106" s="695" t="s">
        <v>89</v>
      </c>
      <c r="C106" s="697"/>
      <c r="D106" s="696"/>
      <c r="E106" s="13"/>
      <c r="F106" s="13"/>
      <c r="G106" s="13"/>
      <c r="H106" s="23"/>
      <c r="I106" s="13"/>
    </row>
    <row r="107" spans="1:9" s="4" customFormat="1" ht="15.75" customHeight="1">
      <c r="A107" s="15">
        <v>28</v>
      </c>
      <c r="B107" s="695" t="s">
        <v>43</v>
      </c>
      <c r="C107" s="697"/>
      <c r="D107" s="696"/>
      <c r="E107" s="13"/>
      <c r="F107" s="13"/>
      <c r="G107" s="13"/>
      <c r="H107" s="23"/>
      <c r="I107" s="13"/>
    </row>
    <row r="108" spans="1:9">
      <c r="A108" s="16"/>
      <c r="B108" s="694" t="s">
        <v>90</v>
      </c>
      <c r="C108" s="694"/>
      <c r="D108" s="694"/>
      <c r="E108" s="24"/>
      <c r="F108" s="24"/>
      <c r="G108" s="24"/>
      <c r="H108" s="319" t="s">
        <v>809</v>
      </c>
      <c r="I108" s="24"/>
    </row>
    <row r="109" spans="1:9" s="17" customFormat="1" ht="42" customHeight="1">
      <c r="A109" s="667" t="s">
        <v>91</v>
      </c>
      <c r="B109" s="668"/>
      <c r="C109" s="668"/>
      <c r="D109" s="668"/>
      <c r="E109" s="668"/>
      <c r="F109" s="668"/>
      <c r="G109" s="668"/>
      <c r="H109" s="668"/>
      <c r="I109" s="669"/>
    </row>
  </sheetData>
  <mergeCells count="125">
    <mergeCell ref="B108:D108"/>
    <mergeCell ref="A109:I109"/>
    <mergeCell ref="C102:D102"/>
    <mergeCell ref="C103:D103"/>
    <mergeCell ref="C104:D104"/>
    <mergeCell ref="C105:D105"/>
    <mergeCell ref="B106:D106"/>
    <mergeCell ref="B107:D107"/>
    <mergeCell ref="A94:A105"/>
    <mergeCell ref="B94:B105"/>
    <mergeCell ref="C94:D94"/>
    <mergeCell ref="C95:D95"/>
    <mergeCell ref="C96:D96"/>
    <mergeCell ref="C97:D97"/>
    <mergeCell ref="C98:D98"/>
    <mergeCell ref="C99:D99"/>
    <mergeCell ref="C100:D100"/>
    <mergeCell ref="C101:D101"/>
    <mergeCell ref="A90:A92"/>
    <mergeCell ref="B90:B92"/>
    <mergeCell ref="C90:D90"/>
    <mergeCell ref="C91:D91"/>
    <mergeCell ref="C92:D92"/>
    <mergeCell ref="B93:D93"/>
    <mergeCell ref="A82:A89"/>
    <mergeCell ref="B82:B89"/>
    <mergeCell ref="C82:D82"/>
    <mergeCell ref="C83:D83"/>
    <mergeCell ref="C84:D84"/>
    <mergeCell ref="C85:D85"/>
    <mergeCell ref="C86:D86"/>
    <mergeCell ref="C87:D87"/>
    <mergeCell ref="C88:D88"/>
    <mergeCell ref="C89:D89"/>
    <mergeCell ref="A77:A81"/>
    <mergeCell ref="B77:B81"/>
    <mergeCell ref="C77:D77"/>
    <mergeCell ref="C78:D78"/>
    <mergeCell ref="C79:D79"/>
    <mergeCell ref="C80:D80"/>
    <mergeCell ref="C81:D81"/>
    <mergeCell ref="A73:A74"/>
    <mergeCell ref="B73:B74"/>
    <mergeCell ref="C73:D73"/>
    <mergeCell ref="C74:D74"/>
    <mergeCell ref="A75:A76"/>
    <mergeCell ref="B75:B76"/>
    <mergeCell ref="C75:D75"/>
    <mergeCell ref="C76:D76"/>
    <mergeCell ref="A69:A70"/>
    <mergeCell ref="B69:B70"/>
    <mergeCell ref="C69:D69"/>
    <mergeCell ref="C70:D70"/>
    <mergeCell ref="A71:A72"/>
    <mergeCell ref="B71:B72"/>
    <mergeCell ref="C71:D71"/>
    <mergeCell ref="C72:D72"/>
    <mergeCell ref="A65:A66"/>
    <mergeCell ref="B65:B66"/>
    <mergeCell ref="C65:D65"/>
    <mergeCell ref="C66:D66"/>
    <mergeCell ref="A67:A68"/>
    <mergeCell ref="B67:B68"/>
    <mergeCell ref="C67:D67"/>
    <mergeCell ref="C68:D68"/>
    <mergeCell ref="A59:A62"/>
    <mergeCell ref="B59:B62"/>
    <mergeCell ref="C59:C60"/>
    <mergeCell ref="C61:C62"/>
    <mergeCell ref="A63:A64"/>
    <mergeCell ref="B63:B64"/>
    <mergeCell ref="C63:D63"/>
    <mergeCell ref="C64:D64"/>
    <mergeCell ref="A55:A56"/>
    <mergeCell ref="B55:B56"/>
    <mergeCell ref="C55:D55"/>
    <mergeCell ref="C56:D56"/>
    <mergeCell ref="A57:A58"/>
    <mergeCell ref="B57:B58"/>
    <mergeCell ref="C57:D57"/>
    <mergeCell ref="C58:D58"/>
    <mergeCell ref="A49:A52"/>
    <mergeCell ref="B49:B52"/>
    <mergeCell ref="C49:C50"/>
    <mergeCell ref="C51:C52"/>
    <mergeCell ref="A53:A54"/>
    <mergeCell ref="B53:B54"/>
    <mergeCell ref="C53:D53"/>
    <mergeCell ref="C54:D54"/>
    <mergeCell ref="A41:A44"/>
    <mergeCell ref="B41:B44"/>
    <mergeCell ref="C41:C42"/>
    <mergeCell ref="C43:C44"/>
    <mergeCell ref="A45:A48"/>
    <mergeCell ref="B45:B48"/>
    <mergeCell ref="C45:C46"/>
    <mergeCell ref="C47:C48"/>
    <mergeCell ref="A33:A36"/>
    <mergeCell ref="B33:B36"/>
    <mergeCell ref="C33:C34"/>
    <mergeCell ref="C35:C36"/>
    <mergeCell ref="A37:A40"/>
    <mergeCell ref="B37:B40"/>
    <mergeCell ref="C37:C38"/>
    <mergeCell ref="C39:C40"/>
    <mergeCell ref="A21:A24"/>
    <mergeCell ref="B21:B24"/>
    <mergeCell ref="C22:C24"/>
    <mergeCell ref="A25:A32"/>
    <mergeCell ref="B25:B32"/>
    <mergeCell ref="C25:C26"/>
    <mergeCell ref="C27:C32"/>
    <mergeCell ref="A12:A15"/>
    <mergeCell ref="B12:B15"/>
    <mergeCell ref="C13:C15"/>
    <mergeCell ref="A16:A20"/>
    <mergeCell ref="B16:B20"/>
    <mergeCell ref="C17:C20"/>
    <mergeCell ref="A1:I1"/>
    <mergeCell ref="A2:I2"/>
    <mergeCell ref="B3:D3"/>
    <mergeCell ref="A4:A11"/>
    <mergeCell ref="B4:B11"/>
    <mergeCell ref="C4:C7"/>
    <mergeCell ref="C8:C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9AD5-A3B3-464B-9449-D2977B620CBD}">
  <dimension ref="A1:J108"/>
  <sheetViews>
    <sheetView topLeftCell="A66" workbookViewId="0">
      <selection activeCell="T14" sqref="T14"/>
    </sheetView>
  </sheetViews>
  <sheetFormatPr defaultRowHeight="15"/>
  <cols>
    <col min="1" max="1" width="5.5703125" style="1" customWidth="1"/>
    <col min="2" max="2" width="19.5703125" style="1" customWidth="1"/>
    <col min="3" max="3" width="18.140625" style="1" customWidth="1"/>
    <col min="4" max="4" width="25" style="1" customWidth="1"/>
    <col min="5" max="5" width="11.5703125" style="1" customWidth="1"/>
    <col min="6" max="6" width="12.5703125" style="1" customWidth="1"/>
    <col min="7" max="7" width="13.28515625" style="1" customWidth="1"/>
    <col min="8" max="8" width="10.5703125" style="1" bestFit="1" customWidth="1"/>
    <col min="9" max="9" width="12" style="1" customWidth="1"/>
    <col min="10" max="10" width="29" style="1" customWidth="1"/>
    <col min="11" max="16384" width="9.140625" style="1"/>
  </cols>
  <sheetData>
    <row r="1" spans="1:10" ht="66" customHeight="1">
      <c r="A1" s="929" t="s">
        <v>851</v>
      </c>
      <c r="B1" s="930"/>
      <c r="C1" s="930"/>
      <c r="D1" s="930"/>
      <c r="E1" s="930"/>
      <c r="F1" s="930"/>
      <c r="G1" s="930"/>
      <c r="H1" s="930"/>
      <c r="I1" s="930"/>
      <c r="J1" s="930"/>
    </row>
    <row r="2" spans="1:10" ht="19.5" customHeight="1">
      <c r="A2" s="931" t="s">
        <v>0</v>
      </c>
      <c r="B2" s="931"/>
      <c r="C2" s="931"/>
      <c r="D2" s="931"/>
      <c r="E2" s="931"/>
      <c r="F2" s="931"/>
      <c r="G2" s="931"/>
      <c r="H2" s="931"/>
      <c r="I2" s="931"/>
      <c r="J2" s="931"/>
    </row>
    <row r="3" spans="1:10" ht="17.25" customHeight="1">
      <c r="A3" s="779" t="s">
        <v>1</v>
      </c>
      <c r="B3" s="779"/>
      <c r="C3" s="779"/>
      <c r="D3" s="779"/>
      <c r="E3" s="779"/>
      <c r="F3" s="779"/>
      <c r="G3" s="779"/>
      <c r="H3" s="779"/>
      <c r="I3" s="779"/>
      <c r="J3" s="779"/>
    </row>
    <row r="4" spans="1:10" ht="34.5" customHeight="1">
      <c r="A4" s="481" t="s">
        <v>812</v>
      </c>
      <c r="B4" s="482" t="s">
        <v>2</v>
      </c>
      <c r="C4" s="482"/>
      <c r="D4" s="482"/>
      <c r="E4" s="467" t="s">
        <v>3</v>
      </c>
      <c r="F4" s="930"/>
      <c r="G4" s="930"/>
      <c r="H4" s="930"/>
      <c r="I4" s="930"/>
      <c r="J4" s="467" t="s">
        <v>4</v>
      </c>
    </row>
    <row r="5" spans="1:10" ht="47.85" customHeight="1">
      <c r="A5" s="481"/>
      <c r="B5" s="482"/>
      <c r="C5" s="482"/>
      <c r="D5" s="482"/>
      <c r="E5" s="2" t="s">
        <v>813</v>
      </c>
      <c r="F5" s="2" t="s">
        <v>814</v>
      </c>
      <c r="G5" s="2" t="s">
        <v>815</v>
      </c>
      <c r="H5" s="2" t="s">
        <v>816</v>
      </c>
      <c r="I5" s="2" t="s">
        <v>5</v>
      </c>
      <c r="J5" s="930"/>
    </row>
    <row r="6" spans="1:10" s="4" customFormat="1" ht="17.25" customHeight="1">
      <c r="A6" s="707">
        <v>1</v>
      </c>
      <c r="B6" s="555" t="s">
        <v>6</v>
      </c>
      <c r="C6" s="555" t="s">
        <v>7</v>
      </c>
      <c r="D6" s="3" t="s">
        <v>8</v>
      </c>
      <c r="E6" s="40"/>
      <c r="F6" s="40"/>
      <c r="G6" s="40"/>
      <c r="H6" s="40"/>
      <c r="I6" s="40"/>
      <c r="J6" s="40"/>
    </row>
    <row r="7" spans="1:10" s="4" customFormat="1" ht="17.25" customHeight="1">
      <c r="A7" s="707"/>
      <c r="B7" s="555"/>
      <c r="C7" s="555"/>
      <c r="D7" s="5" t="s">
        <v>9</v>
      </c>
      <c r="E7" s="6"/>
      <c r="F7" s="6"/>
      <c r="G7" s="6"/>
      <c r="H7" s="6"/>
      <c r="I7" s="6"/>
      <c r="J7" s="6"/>
    </row>
    <row r="8" spans="1:10" s="4" customFormat="1" ht="17.25" customHeight="1">
      <c r="A8" s="707"/>
      <c r="B8" s="555"/>
      <c r="C8" s="555"/>
      <c r="D8" s="5" t="s">
        <v>10</v>
      </c>
      <c r="E8" s="6"/>
      <c r="F8" s="6"/>
      <c r="G8" s="6"/>
      <c r="H8" s="6"/>
      <c r="I8" s="6"/>
      <c r="J8" s="6"/>
    </row>
    <row r="9" spans="1:10" s="4" customFormat="1" ht="17.25" customHeight="1">
      <c r="A9" s="707"/>
      <c r="B9" s="555"/>
      <c r="C9" s="556"/>
      <c r="D9" s="5" t="s">
        <v>11</v>
      </c>
      <c r="E9" s="6"/>
      <c r="F9" s="6"/>
      <c r="G9" s="6"/>
      <c r="H9" s="6"/>
      <c r="I9" s="6"/>
      <c r="J9" s="6"/>
    </row>
    <row r="10" spans="1:10" s="4" customFormat="1" ht="17.25" customHeight="1">
      <c r="A10" s="707"/>
      <c r="B10" s="555"/>
      <c r="C10" s="554" t="s">
        <v>12</v>
      </c>
      <c r="D10" s="5" t="s">
        <v>13</v>
      </c>
      <c r="E10" s="6"/>
      <c r="F10" s="6"/>
      <c r="G10" s="6"/>
      <c r="H10" s="6"/>
      <c r="I10" s="6"/>
      <c r="J10" s="6"/>
    </row>
    <row r="11" spans="1:10" s="4" customFormat="1" ht="17.25" customHeight="1">
      <c r="A11" s="707"/>
      <c r="B11" s="555"/>
      <c r="C11" s="555"/>
      <c r="D11" s="5" t="s">
        <v>14</v>
      </c>
      <c r="E11" s="6"/>
      <c r="F11" s="6"/>
      <c r="G11" s="6"/>
      <c r="H11" s="6"/>
      <c r="I11" s="6"/>
      <c r="J11" s="6"/>
    </row>
    <row r="12" spans="1:10" s="4" customFormat="1" ht="17.25" customHeight="1">
      <c r="A12" s="707"/>
      <c r="B12" s="555"/>
      <c r="C12" s="555"/>
      <c r="D12" s="5" t="s">
        <v>15</v>
      </c>
      <c r="E12" s="6"/>
      <c r="F12" s="6"/>
      <c r="G12" s="6"/>
      <c r="H12" s="6"/>
      <c r="I12" s="6"/>
      <c r="J12" s="6"/>
    </row>
    <row r="13" spans="1:10" s="4" customFormat="1" ht="17.25" customHeight="1">
      <c r="A13" s="927"/>
      <c r="B13" s="556"/>
      <c r="C13" s="556"/>
      <c r="D13" s="5" t="s">
        <v>11</v>
      </c>
      <c r="E13" s="6"/>
      <c r="F13" s="6"/>
      <c r="G13" s="6"/>
      <c r="H13" s="6"/>
      <c r="I13" s="6"/>
      <c r="J13" s="6"/>
    </row>
    <row r="14" spans="1:10" s="4" customFormat="1" ht="21" customHeight="1">
      <c r="A14" s="706">
        <v>2</v>
      </c>
      <c r="B14" s="554" t="s">
        <v>16</v>
      </c>
      <c r="C14" s="5" t="s">
        <v>7</v>
      </c>
      <c r="D14" s="5" t="s">
        <v>8</v>
      </c>
      <c r="E14" s="6"/>
      <c r="F14" s="6"/>
      <c r="G14" s="6"/>
      <c r="H14" s="6"/>
      <c r="I14" s="6"/>
      <c r="J14" s="6"/>
    </row>
    <row r="15" spans="1:10" s="4" customFormat="1" ht="17.25" customHeight="1">
      <c r="A15" s="707"/>
      <c r="B15" s="555"/>
      <c r="C15" s="554" t="s">
        <v>12</v>
      </c>
      <c r="D15" s="5" t="s">
        <v>17</v>
      </c>
      <c r="E15" s="6"/>
      <c r="F15" s="6"/>
      <c r="G15" s="6"/>
      <c r="H15" s="6"/>
      <c r="I15" s="6"/>
      <c r="J15" s="6"/>
    </row>
    <row r="16" spans="1:10" s="4" customFormat="1" ht="17.25" customHeight="1">
      <c r="A16" s="707"/>
      <c r="B16" s="555"/>
      <c r="C16" s="555"/>
      <c r="D16" s="5" t="s">
        <v>18</v>
      </c>
      <c r="E16" s="6"/>
      <c r="F16" s="6"/>
      <c r="G16" s="6"/>
      <c r="H16" s="6"/>
      <c r="I16" s="6"/>
      <c r="J16" s="6"/>
    </row>
    <row r="17" spans="1:10" s="4" customFormat="1" ht="17.25" customHeight="1">
      <c r="A17" s="927"/>
      <c r="B17" s="556"/>
      <c r="C17" s="556"/>
      <c r="D17" s="5" t="s">
        <v>11</v>
      </c>
      <c r="E17" s="6"/>
      <c r="F17" s="6"/>
      <c r="G17" s="6"/>
      <c r="H17" s="6"/>
      <c r="I17" s="6"/>
      <c r="J17" s="6"/>
    </row>
    <row r="18" spans="1:10" s="4" customFormat="1" ht="21" customHeight="1">
      <c r="A18" s="706">
        <v>3</v>
      </c>
      <c r="B18" s="711" t="s">
        <v>817</v>
      </c>
      <c r="C18" s="5" t="s">
        <v>7</v>
      </c>
      <c r="D18" s="5" t="s">
        <v>8</v>
      </c>
      <c r="E18" s="6"/>
      <c r="F18" s="6"/>
      <c r="G18" s="6"/>
      <c r="H18" s="6"/>
      <c r="I18" s="6"/>
      <c r="J18" s="6"/>
    </row>
    <row r="19" spans="1:10" s="4" customFormat="1" ht="17.25" customHeight="1">
      <c r="A19" s="707"/>
      <c r="B19" s="928"/>
      <c r="C19" s="554" t="s">
        <v>12</v>
      </c>
      <c r="D19" s="5" t="s">
        <v>17</v>
      </c>
      <c r="E19" s="6"/>
      <c r="F19" s="6"/>
      <c r="G19" s="6"/>
      <c r="H19" s="6"/>
      <c r="I19" s="6"/>
      <c r="J19" s="6"/>
    </row>
    <row r="20" spans="1:10" s="4" customFormat="1" ht="17.25" customHeight="1">
      <c r="A20" s="707"/>
      <c r="B20" s="928"/>
      <c r="C20" s="555"/>
      <c r="D20" s="5" t="s">
        <v>18</v>
      </c>
      <c r="E20" s="6"/>
      <c r="F20" s="6"/>
      <c r="G20" s="6"/>
      <c r="H20" s="6"/>
      <c r="I20" s="6"/>
      <c r="J20" s="6"/>
    </row>
    <row r="21" spans="1:10" s="4" customFormat="1" ht="17.25" customHeight="1">
      <c r="A21" s="707"/>
      <c r="B21" s="928"/>
      <c r="C21" s="555"/>
      <c r="D21" s="5" t="s">
        <v>19</v>
      </c>
      <c r="E21" s="6"/>
      <c r="F21" s="6"/>
      <c r="G21" s="6"/>
      <c r="H21" s="6"/>
      <c r="I21" s="6"/>
      <c r="J21" s="6"/>
    </row>
    <row r="22" spans="1:10" s="4" customFormat="1" ht="17.25" customHeight="1">
      <c r="A22" s="927"/>
      <c r="B22" s="712"/>
      <c r="C22" s="556"/>
      <c r="D22" s="5" t="s">
        <v>11</v>
      </c>
      <c r="E22" s="6"/>
      <c r="F22" s="6"/>
      <c r="G22" s="6"/>
      <c r="H22" s="6"/>
      <c r="I22" s="6"/>
      <c r="J22" s="6"/>
    </row>
    <row r="23" spans="1:10" s="4" customFormat="1" ht="21.2" customHeight="1">
      <c r="A23" s="706">
        <v>4</v>
      </c>
      <c r="B23" s="554" t="s">
        <v>20</v>
      </c>
      <c r="C23" s="5" t="s">
        <v>7</v>
      </c>
      <c r="D23" s="5" t="s">
        <v>8</v>
      </c>
      <c r="E23" s="6"/>
      <c r="F23" s="6"/>
      <c r="G23" s="6"/>
      <c r="H23" s="6"/>
      <c r="I23" s="6"/>
      <c r="J23" s="6"/>
    </row>
    <row r="24" spans="1:10" s="4" customFormat="1" ht="17.25" customHeight="1">
      <c r="A24" s="707"/>
      <c r="B24" s="555"/>
      <c r="C24" s="554" t="s">
        <v>12</v>
      </c>
      <c r="D24" s="5" t="s">
        <v>17</v>
      </c>
      <c r="E24" s="6"/>
      <c r="F24" s="6"/>
      <c r="G24" s="6"/>
      <c r="H24" s="6"/>
      <c r="I24" s="6"/>
      <c r="J24" s="6"/>
    </row>
    <row r="25" spans="1:10" s="4" customFormat="1" ht="17.25" customHeight="1">
      <c r="A25" s="707"/>
      <c r="B25" s="555"/>
      <c r="C25" s="555"/>
      <c r="D25" s="5" t="s">
        <v>18</v>
      </c>
      <c r="E25" s="6"/>
      <c r="F25" s="6"/>
      <c r="G25" s="6"/>
      <c r="H25" s="6"/>
      <c r="I25" s="6"/>
      <c r="J25" s="6"/>
    </row>
    <row r="26" spans="1:10" s="4" customFormat="1" ht="17.25" customHeight="1">
      <c r="A26" s="927"/>
      <c r="B26" s="556"/>
      <c r="C26" s="556"/>
      <c r="D26" s="5" t="s">
        <v>11</v>
      </c>
      <c r="E26" s="6"/>
      <c r="F26" s="6"/>
      <c r="G26" s="6"/>
      <c r="H26" s="6"/>
      <c r="I26" s="6"/>
      <c r="J26" s="6"/>
    </row>
    <row r="27" spans="1:10" s="4" customFormat="1" ht="17.25" customHeight="1">
      <c r="A27" s="706">
        <v>5</v>
      </c>
      <c r="B27" s="554" t="s">
        <v>21</v>
      </c>
      <c r="C27" s="554" t="s">
        <v>7</v>
      </c>
      <c r="D27" s="5" t="s">
        <v>8</v>
      </c>
      <c r="E27" s="6"/>
      <c r="F27" s="6"/>
      <c r="G27" s="6"/>
      <c r="H27" s="6"/>
      <c r="I27" s="6"/>
      <c r="J27" s="6"/>
    </row>
    <row r="28" spans="1:10" s="4" customFormat="1" ht="17.25" customHeight="1">
      <c r="A28" s="707"/>
      <c r="B28" s="555"/>
      <c r="C28" s="556"/>
      <c r="D28" s="5" t="s">
        <v>11</v>
      </c>
      <c r="E28" s="6"/>
      <c r="F28" s="6"/>
      <c r="G28" s="6"/>
      <c r="H28" s="6"/>
      <c r="I28" s="6"/>
      <c r="J28" s="6"/>
    </row>
    <row r="29" spans="1:10" s="4" customFormat="1" ht="17.25" customHeight="1">
      <c r="A29" s="707"/>
      <c r="B29" s="555"/>
      <c r="C29" s="554" t="s">
        <v>12</v>
      </c>
      <c r="D29" s="5" t="s">
        <v>22</v>
      </c>
      <c r="E29" s="6"/>
      <c r="F29" s="6"/>
      <c r="G29" s="6"/>
      <c r="H29" s="6"/>
      <c r="I29" s="6"/>
      <c r="J29" s="6"/>
    </row>
    <row r="30" spans="1:10" s="4" customFormat="1" ht="17.25" customHeight="1">
      <c r="A30" s="707"/>
      <c r="B30" s="555"/>
      <c r="C30" s="555"/>
      <c r="D30" s="5" t="s">
        <v>23</v>
      </c>
      <c r="E30" s="6"/>
      <c r="F30" s="6"/>
      <c r="G30" s="6"/>
      <c r="H30" s="6"/>
      <c r="I30" s="6"/>
      <c r="J30" s="6"/>
    </row>
    <row r="31" spans="1:10" s="4" customFormat="1" ht="17.25" customHeight="1">
      <c r="A31" s="707"/>
      <c r="B31" s="555"/>
      <c r="C31" s="555"/>
      <c r="D31" s="5" t="s">
        <v>24</v>
      </c>
      <c r="E31" s="6"/>
      <c r="F31" s="6"/>
      <c r="G31" s="6"/>
      <c r="H31" s="6"/>
      <c r="I31" s="6"/>
      <c r="J31" s="6"/>
    </row>
    <row r="32" spans="1:10" s="4" customFormat="1" ht="17.25" customHeight="1">
      <c r="A32" s="707"/>
      <c r="B32" s="555"/>
      <c r="C32" s="555"/>
      <c r="D32" s="5" t="s">
        <v>818</v>
      </c>
      <c r="E32" s="6"/>
      <c r="F32" s="6"/>
      <c r="G32" s="6"/>
      <c r="H32" s="6"/>
      <c r="I32" s="6"/>
      <c r="J32" s="6"/>
    </row>
    <row r="33" spans="1:10" s="4" customFormat="1" ht="17.25" customHeight="1">
      <c r="A33" s="707"/>
      <c r="B33" s="555"/>
      <c r="C33" s="555"/>
      <c r="D33" s="5" t="s">
        <v>25</v>
      </c>
      <c r="E33" s="6"/>
      <c r="F33" s="6"/>
      <c r="G33" s="6"/>
      <c r="H33" s="6"/>
      <c r="I33" s="6"/>
      <c r="J33" s="6"/>
    </row>
    <row r="34" spans="1:10" s="4" customFormat="1" ht="17.25" customHeight="1">
      <c r="A34" s="927"/>
      <c r="B34" s="556"/>
      <c r="C34" s="556"/>
      <c r="D34" s="5" t="s">
        <v>11</v>
      </c>
      <c r="E34" s="6"/>
      <c r="F34" s="6"/>
      <c r="G34" s="6"/>
      <c r="H34" s="6"/>
      <c r="I34" s="6"/>
      <c r="J34" s="6"/>
    </row>
    <row r="35" spans="1:10" s="4" customFormat="1" ht="17.25" customHeight="1">
      <c r="A35" s="706">
        <v>6</v>
      </c>
      <c r="B35" s="554" t="s">
        <v>819</v>
      </c>
      <c r="C35" s="554" t="s">
        <v>7</v>
      </c>
      <c r="D35" s="5" t="s">
        <v>8</v>
      </c>
      <c r="E35" s="6"/>
      <c r="F35" s="6"/>
      <c r="G35" s="6"/>
      <c r="H35" s="6"/>
      <c r="I35" s="6"/>
      <c r="J35" s="6"/>
    </row>
    <row r="36" spans="1:10" s="4" customFormat="1" ht="17.25" customHeight="1">
      <c r="A36" s="707"/>
      <c r="B36" s="555"/>
      <c r="C36" s="556"/>
      <c r="D36" s="5" t="s">
        <v>11</v>
      </c>
      <c r="E36" s="6"/>
      <c r="F36" s="6"/>
      <c r="G36" s="6"/>
      <c r="H36" s="6"/>
      <c r="I36" s="6"/>
      <c r="J36" s="6"/>
    </row>
    <row r="37" spans="1:10" s="4" customFormat="1" ht="17.25" customHeight="1">
      <c r="A37" s="707"/>
      <c r="B37" s="555"/>
      <c r="C37" s="554" t="s">
        <v>12</v>
      </c>
      <c r="D37" s="5" t="s">
        <v>15</v>
      </c>
      <c r="E37" s="6"/>
      <c r="F37" s="6"/>
      <c r="G37" s="6"/>
      <c r="H37" s="6"/>
      <c r="I37" s="6"/>
      <c r="J37" s="6"/>
    </row>
    <row r="38" spans="1:10" s="4" customFormat="1" ht="43.5" customHeight="1">
      <c r="A38" s="927"/>
      <c r="B38" s="556"/>
      <c r="C38" s="556"/>
      <c r="D38" s="5" t="s">
        <v>11</v>
      </c>
      <c r="E38" s="6"/>
      <c r="F38" s="6"/>
      <c r="G38" s="6"/>
      <c r="H38" s="6"/>
      <c r="I38" s="6"/>
      <c r="J38" s="6"/>
    </row>
    <row r="39" spans="1:10" s="4" customFormat="1" ht="17.25" customHeight="1">
      <c r="A39" s="706">
        <v>7</v>
      </c>
      <c r="B39" s="554" t="s">
        <v>26</v>
      </c>
      <c r="C39" s="554" t="s">
        <v>7</v>
      </c>
      <c r="D39" s="5" t="s">
        <v>8</v>
      </c>
      <c r="E39" s="6"/>
      <c r="F39" s="6"/>
      <c r="G39" s="6"/>
      <c r="H39" s="6"/>
      <c r="I39" s="6"/>
      <c r="J39" s="6"/>
    </row>
    <row r="40" spans="1:10" s="4" customFormat="1" ht="17.25" customHeight="1">
      <c r="A40" s="707"/>
      <c r="B40" s="555"/>
      <c r="C40" s="556"/>
      <c r="D40" s="5" t="s">
        <v>11</v>
      </c>
      <c r="E40" s="6"/>
      <c r="F40" s="6"/>
      <c r="G40" s="6"/>
      <c r="H40" s="6"/>
      <c r="I40" s="6"/>
      <c r="J40" s="6"/>
    </row>
    <row r="41" spans="1:10" s="4" customFormat="1" ht="17.25" customHeight="1">
      <c r="A41" s="707"/>
      <c r="B41" s="555"/>
      <c r="C41" s="554" t="s">
        <v>12</v>
      </c>
      <c r="D41" s="5" t="s">
        <v>8</v>
      </c>
      <c r="E41" s="6"/>
      <c r="F41" s="6"/>
      <c r="G41" s="6"/>
      <c r="H41" s="6"/>
      <c r="I41" s="6"/>
      <c r="J41" s="6"/>
    </row>
    <row r="42" spans="1:10" s="4" customFormat="1" ht="17.25" customHeight="1">
      <c r="A42" s="927"/>
      <c r="B42" s="556"/>
      <c r="C42" s="556"/>
      <c r="D42" s="5" t="s">
        <v>11</v>
      </c>
      <c r="E42" s="6"/>
      <c r="F42" s="6"/>
      <c r="G42" s="6"/>
      <c r="H42" s="6"/>
      <c r="I42" s="6"/>
      <c r="J42" s="6"/>
    </row>
    <row r="43" spans="1:10" s="4" customFormat="1" ht="17.25" customHeight="1">
      <c r="A43" s="706">
        <v>8</v>
      </c>
      <c r="B43" s="554" t="s">
        <v>27</v>
      </c>
      <c r="C43" s="554" t="s">
        <v>7</v>
      </c>
      <c r="D43" s="5" t="s">
        <v>8</v>
      </c>
      <c r="E43" s="6"/>
      <c r="F43" s="6"/>
      <c r="G43" s="6"/>
      <c r="H43" s="6"/>
      <c r="I43" s="6"/>
      <c r="J43" s="6"/>
    </row>
    <row r="44" spans="1:10" s="4" customFormat="1" ht="17.25" customHeight="1">
      <c r="A44" s="707"/>
      <c r="B44" s="555"/>
      <c r="C44" s="556"/>
      <c r="D44" s="5" t="s">
        <v>11</v>
      </c>
      <c r="E44" s="6"/>
      <c r="F44" s="6"/>
      <c r="G44" s="6"/>
      <c r="H44" s="6"/>
      <c r="I44" s="6"/>
      <c r="J44" s="6"/>
    </row>
    <row r="45" spans="1:10" s="4" customFormat="1" ht="17.25" customHeight="1">
      <c r="A45" s="707"/>
      <c r="B45" s="555"/>
      <c r="C45" s="554" t="s">
        <v>12</v>
      </c>
      <c r="D45" s="5" t="s">
        <v>8</v>
      </c>
      <c r="E45" s="6"/>
      <c r="F45" s="6"/>
      <c r="G45" s="6"/>
      <c r="H45" s="6"/>
      <c r="I45" s="6"/>
      <c r="J45" s="6"/>
    </row>
    <row r="46" spans="1:10" s="4" customFormat="1" ht="17.25" customHeight="1">
      <c r="A46" s="927"/>
      <c r="B46" s="556"/>
      <c r="C46" s="556"/>
      <c r="D46" s="5" t="s">
        <v>11</v>
      </c>
      <c r="E46" s="6"/>
      <c r="F46" s="6"/>
      <c r="G46" s="6"/>
      <c r="H46" s="6"/>
      <c r="I46" s="6"/>
      <c r="J46" s="6"/>
    </row>
    <row r="47" spans="1:10" s="4" customFormat="1" ht="17.25" customHeight="1">
      <c r="A47" s="706">
        <v>9</v>
      </c>
      <c r="B47" s="554" t="s">
        <v>28</v>
      </c>
      <c r="C47" s="554" t="s">
        <v>7</v>
      </c>
      <c r="D47" s="5" t="s">
        <v>8</v>
      </c>
      <c r="E47" s="6"/>
      <c r="F47" s="6"/>
      <c r="G47" s="6"/>
      <c r="H47" s="6"/>
      <c r="I47" s="6"/>
      <c r="J47" s="6"/>
    </row>
    <row r="48" spans="1:10" s="4" customFormat="1" ht="17.25" customHeight="1">
      <c r="A48" s="707"/>
      <c r="B48" s="555"/>
      <c r="C48" s="556"/>
      <c r="D48" s="5" t="s">
        <v>11</v>
      </c>
      <c r="E48" s="6"/>
      <c r="F48" s="6"/>
      <c r="G48" s="6"/>
      <c r="H48" s="6"/>
      <c r="I48" s="6"/>
      <c r="J48" s="6"/>
    </row>
    <row r="49" spans="1:10" s="4" customFormat="1" ht="17.25" customHeight="1">
      <c r="A49" s="707"/>
      <c r="B49" s="555"/>
      <c r="C49" s="554" t="s">
        <v>12</v>
      </c>
      <c r="D49" s="5" t="s">
        <v>8</v>
      </c>
      <c r="E49" s="6"/>
      <c r="F49" s="6"/>
      <c r="G49" s="6"/>
      <c r="H49" s="6"/>
      <c r="I49" s="6"/>
      <c r="J49" s="6"/>
    </row>
    <row r="50" spans="1:10" s="4" customFormat="1" ht="17.25" customHeight="1">
      <c r="A50" s="927"/>
      <c r="B50" s="556"/>
      <c r="C50" s="556"/>
      <c r="D50" s="5" t="s">
        <v>11</v>
      </c>
      <c r="E50" s="6"/>
      <c r="F50" s="6"/>
      <c r="G50" s="6"/>
      <c r="H50" s="6"/>
      <c r="I50" s="6"/>
      <c r="J50" s="6"/>
    </row>
    <row r="51" spans="1:10" s="4" customFormat="1" ht="17.25" customHeight="1">
      <c r="A51" s="706">
        <v>10</v>
      </c>
      <c r="B51" s="554" t="s">
        <v>29</v>
      </c>
      <c r="C51" s="554" t="s">
        <v>7</v>
      </c>
      <c r="D51" s="9" t="s">
        <v>30</v>
      </c>
      <c r="E51" s="6"/>
      <c r="F51" s="6"/>
      <c r="G51" s="6"/>
      <c r="H51" s="6"/>
      <c r="I51" s="6"/>
      <c r="J51" s="6"/>
    </row>
    <row r="52" spans="1:10" s="4" customFormat="1" ht="17.25" customHeight="1">
      <c r="A52" s="707"/>
      <c r="B52" s="555"/>
      <c r="C52" s="556"/>
      <c r="D52" s="7" t="s">
        <v>11</v>
      </c>
      <c r="E52" s="337"/>
      <c r="F52" s="6"/>
      <c r="G52" s="6"/>
      <c r="H52" s="6"/>
      <c r="I52" s="6"/>
      <c r="J52" s="6"/>
    </row>
    <row r="53" spans="1:10" s="4" customFormat="1" ht="17.25" customHeight="1">
      <c r="A53" s="707"/>
      <c r="B53" s="555"/>
      <c r="C53" s="708" t="s">
        <v>12</v>
      </c>
      <c r="D53" s="10" t="s">
        <v>31</v>
      </c>
      <c r="E53" s="337"/>
      <c r="F53" s="6"/>
      <c r="G53" s="6"/>
      <c r="H53" s="6"/>
      <c r="I53" s="6"/>
      <c r="J53" s="6"/>
    </row>
    <row r="54" spans="1:10" s="4" customFormat="1" ht="17.25" customHeight="1">
      <c r="A54" s="927"/>
      <c r="B54" s="556"/>
      <c r="C54" s="556"/>
      <c r="D54" s="3" t="s">
        <v>11</v>
      </c>
      <c r="E54" s="6"/>
      <c r="F54" s="6"/>
      <c r="G54" s="6"/>
      <c r="H54" s="6"/>
      <c r="I54" s="6"/>
      <c r="J54" s="6"/>
    </row>
    <row r="55" spans="1:10" s="4" customFormat="1" ht="17.25" customHeight="1">
      <c r="A55" s="706">
        <v>11</v>
      </c>
      <c r="B55" s="554" t="s">
        <v>32</v>
      </c>
      <c r="C55" s="520" t="s">
        <v>7</v>
      </c>
      <c r="D55" s="509"/>
      <c r="E55" s="6"/>
      <c r="F55" s="6"/>
      <c r="G55" s="6"/>
      <c r="H55" s="6"/>
      <c r="I55" s="6"/>
      <c r="J55" s="6"/>
    </row>
    <row r="56" spans="1:10" s="4" customFormat="1" ht="17.25" customHeight="1">
      <c r="A56" s="927"/>
      <c r="B56" s="556"/>
      <c r="C56" s="520" t="s">
        <v>12</v>
      </c>
      <c r="D56" s="509"/>
      <c r="E56" s="6"/>
      <c r="F56" s="6"/>
      <c r="G56" s="6"/>
      <c r="H56" s="6"/>
      <c r="I56" s="6"/>
      <c r="J56" s="6"/>
    </row>
    <row r="57" spans="1:10" s="4" customFormat="1" ht="17.25" customHeight="1">
      <c r="A57" s="706">
        <v>12</v>
      </c>
      <c r="B57" s="554" t="s">
        <v>820</v>
      </c>
      <c r="C57" s="520" t="s">
        <v>7</v>
      </c>
      <c r="D57" s="509"/>
      <c r="E57" s="6"/>
      <c r="F57" s="6"/>
      <c r="G57" s="6"/>
      <c r="H57" s="6"/>
      <c r="I57" s="6"/>
      <c r="J57" s="8"/>
    </row>
    <row r="58" spans="1:10" s="4" customFormat="1" ht="30" customHeight="1">
      <c r="A58" s="927"/>
      <c r="B58" s="712"/>
      <c r="C58" s="520" t="s">
        <v>12</v>
      </c>
      <c r="D58" s="509"/>
      <c r="E58" s="6"/>
      <c r="F58" s="6"/>
      <c r="G58" s="6"/>
      <c r="H58" s="6"/>
      <c r="I58" s="12"/>
      <c r="J58" s="13"/>
    </row>
    <row r="59" spans="1:10" s="4" customFormat="1" ht="15.75">
      <c r="A59" s="706">
        <v>13</v>
      </c>
      <c r="B59" s="554" t="s">
        <v>33</v>
      </c>
      <c r="C59" s="520" t="s">
        <v>7</v>
      </c>
      <c r="D59" s="509"/>
      <c r="E59" s="6"/>
      <c r="F59" s="6"/>
      <c r="G59" s="6"/>
      <c r="H59" s="6"/>
      <c r="I59" s="12"/>
      <c r="J59" s="13"/>
    </row>
    <row r="60" spans="1:10" s="4" customFormat="1" ht="15.75">
      <c r="A60" s="707"/>
      <c r="B60" s="555"/>
      <c r="C60" s="708" t="s">
        <v>12</v>
      </c>
      <c r="D60" s="709"/>
      <c r="E60" s="8"/>
      <c r="F60" s="8"/>
      <c r="G60" s="8"/>
      <c r="H60" s="8"/>
      <c r="I60" s="14"/>
      <c r="J60" s="338"/>
    </row>
    <row r="61" spans="1:10" s="4" customFormat="1" ht="15.75">
      <c r="A61" s="921">
        <v>14</v>
      </c>
      <c r="B61" s="924" t="s">
        <v>34</v>
      </c>
      <c r="C61" s="554" t="s">
        <v>7</v>
      </c>
      <c r="D61" s="5" t="s">
        <v>8</v>
      </c>
      <c r="E61" s="120"/>
      <c r="F61" s="120"/>
      <c r="G61" s="120"/>
      <c r="H61" s="120"/>
      <c r="I61" s="120"/>
      <c r="J61" s="338"/>
    </row>
    <row r="62" spans="1:10" s="4" customFormat="1" ht="15.75">
      <c r="A62" s="922"/>
      <c r="B62" s="925"/>
      <c r="C62" s="556"/>
      <c r="D62" s="5" t="s">
        <v>11</v>
      </c>
      <c r="E62" s="120"/>
      <c r="F62" s="120"/>
      <c r="G62" s="120"/>
      <c r="H62" s="120"/>
      <c r="I62" s="120"/>
      <c r="J62" s="338"/>
    </row>
    <row r="63" spans="1:10" s="4" customFormat="1" ht="15.75">
      <c r="A63" s="922"/>
      <c r="B63" s="925"/>
      <c r="C63" s="554" t="s">
        <v>12</v>
      </c>
      <c r="D63" s="5" t="s">
        <v>8</v>
      </c>
      <c r="E63" s="120"/>
      <c r="F63" s="120"/>
      <c r="G63" s="120"/>
      <c r="H63" s="120"/>
      <c r="I63" s="120"/>
      <c r="J63" s="338"/>
    </row>
    <row r="64" spans="1:10" s="4" customFormat="1" ht="15.75">
      <c r="A64" s="923"/>
      <c r="B64" s="926"/>
      <c r="C64" s="556"/>
      <c r="D64" s="5" t="s">
        <v>11</v>
      </c>
      <c r="E64" s="120"/>
      <c r="F64" s="120"/>
      <c r="G64" s="120"/>
      <c r="H64" s="120"/>
      <c r="I64" s="120"/>
      <c r="J64" s="338"/>
    </row>
    <row r="65" spans="1:10" s="4" customFormat="1" ht="15.75">
      <c r="A65" s="706">
        <v>15</v>
      </c>
      <c r="B65" s="554" t="s">
        <v>35</v>
      </c>
      <c r="C65" s="520" t="s">
        <v>7</v>
      </c>
      <c r="D65" s="509"/>
      <c r="E65" s="6"/>
      <c r="F65" s="6"/>
      <c r="G65" s="6"/>
      <c r="H65" s="6"/>
      <c r="I65" s="12"/>
      <c r="J65" s="13"/>
    </row>
    <row r="66" spans="1:10" s="4" customFormat="1" ht="15.75">
      <c r="A66" s="707"/>
      <c r="B66" s="555"/>
      <c r="C66" s="708" t="s">
        <v>12</v>
      </c>
      <c r="D66" s="709"/>
      <c r="E66" s="8"/>
      <c r="F66" s="8"/>
      <c r="G66" s="8"/>
      <c r="H66" s="8"/>
      <c r="I66" s="14"/>
      <c r="J66" s="338"/>
    </row>
    <row r="67" spans="1:10" s="4" customFormat="1" ht="15.75">
      <c r="A67" s="706">
        <v>16</v>
      </c>
      <c r="B67" s="554" t="s">
        <v>36</v>
      </c>
      <c r="C67" s="520" t="s">
        <v>7</v>
      </c>
      <c r="D67" s="509"/>
      <c r="E67" s="6"/>
      <c r="F67" s="6"/>
      <c r="G67" s="6"/>
      <c r="H67" s="6"/>
      <c r="I67" s="12"/>
      <c r="J67" s="13"/>
    </row>
    <row r="68" spans="1:10" s="4" customFormat="1" ht="15.75">
      <c r="A68" s="707"/>
      <c r="B68" s="555"/>
      <c r="C68" s="708" t="s">
        <v>12</v>
      </c>
      <c r="D68" s="709"/>
      <c r="E68" s="8"/>
      <c r="F68" s="8"/>
      <c r="G68" s="8"/>
      <c r="H68" s="8"/>
      <c r="I68" s="14"/>
      <c r="J68" s="338"/>
    </row>
    <row r="69" spans="1:10" s="4" customFormat="1" ht="15.75">
      <c r="A69" s="706">
        <v>17</v>
      </c>
      <c r="B69" s="554" t="s">
        <v>37</v>
      </c>
      <c r="C69" s="520" t="s">
        <v>7</v>
      </c>
      <c r="D69" s="509"/>
      <c r="E69" s="6"/>
      <c r="F69" s="6"/>
      <c r="G69" s="6"/>
      <c r="H69" s="6"/>
      <c r="I69" s="12"/>
      <c r="J69" s="13"/>
    </row>
    <row r="70" spans="1:10" s="4" customFormat="1" ht="15.75">
      <c r="A70" s="707"/>
      <c r="B70" s="555"/>
      <c r="C70" s="708" t="s">
        <v>12</v>
      </c>
      <c r="D70" s="709"/>
      <c r="E70" s="8"/>
      <c r="F70" s="8"/>
      <c r="G70" s="8"/>
      <c r="H70" s="8"/>
      <c r="I70" s="14"/>
      <c r="J70" s="338"/>
    </row>
    <row r="71" spans="1:10" s="4" customFormat="1" ht="15.75">
      <c r="A71" s="706">
        <v>18</v>
      </c>
      <c r="B71" s="554" t="s">
        <v>38</v>
      </c>
      <c r="C71" s="520" t="s">
        <v>7</v>
      </c>
      <c r="D71" s="509"/>
      <c r="E71" s="6"/>
      <c r="F71" s="6"/>
      <c r="G71" s="6"/>
      <c r="H71" s="6"/>
      <c r="I71" s="12"/>
      <c r="J71" s="13"/>
    </row>
    <row r="72" spans="1:10" s="4" customFormat="1" ht="15.75">
      <c r="A72" s="707"/>
      <c r="B72" s="555"/>
      <c r="C72" s="708" t="s">
        <v>12</v>
      </c>
      <c r="D72" s="709"/>
      <c r="E72" s="8"/>
      <c r="F72" s="8"/>
      <c r="G72" s="8"/>
      <c r="H72" s="8"/>
      <c r="I72" s="14"/>
      <c r="J72" s="338"/>
    </row>
    <row r="73" spans="1:10" s="4" customFormat="1" ht="15.75">
      <c r="A73" s="706">
        <v>19</v>
      </c>
      <c r="B73" s="554" t="s">
        <v>39</v>
      </c>
      <c r="C73" s="520" t="s">
        <v>7</v>
      </c>
      <c r="D73" s="509"/>
      <c r="E73" s="6"/>
      <c r="F73" s="6"/>
      <c r="G73" s="6"/>
      <c r="H73" s="6"/>
      <c r="I73" s="12"/>
      <c r="J73" s="13"/>
    </row>
    <row r="74" spans="1:10" s="4" customFormat="1" ht="15.75">
      <c r="A74" s="707"/>
      <c r="B74" s="555"/>
      <c r="C74" s="708" t="s">
        <v>12</v>
      </c>
      <c r="D74" s="709"/>
      <c r="E74" s="8"/>
      <c r="F74" s="8"/>
      <c r="G74" s="8"/>
      <c r="H74" s="8"/>
      <c r="I74" s="14"/>
      <c r="J74" s="338"/>
    </row>
    <row r="75" spans="1:10" s="342" customFormat="1" ht="15.75">
      <c r="A75" s="913">
        <v>20</v>
      </c>
      <c r="B75" s="915" t="s">
        <v>40</v>
      </c>
      <c r="C75" s="917" t="s">
        <v>138</v>
      </c>
      <c r="D75" s="918"/>
      <c r="E75" s="339"/>
      <c r="F75" s="339"/>
      <c r="G75" s="339"/>
      <c r="H75" s="339"/>
      <c r="I75" s="340"/>
      <c r="J75" s="341"/>
    </row>
    <row r="76" spans="1:10" s="342" customFormat="1" ht="102" customHeight="1">
      <c r="A76" s="914"/>
      <c r="B76" s="916"/>
      <c r="C76" s="919" t="s">
        <v>826</v>
      </c>
      <c r="D76" s="920"/>
      <c r="E76" s="320">
        <v>140000</v>
      </c>
      <c r="F76" s="320">
        <v>140000</v>
      </c>
      <c r="G76" s="320">
        <v>140000</v>
      </c>
      <c r="H76" s="320">
        <v>140000</v>
      </c>
      <c r="I76" s="321">
        <v>560000</v>
      </c>
      <c r="J76" s="343" t="s">
        <v>827</v>
      </c>
    </row>
    <row r="77" spans="1:10" s="4" customFormat="1" ht="15.75">
      <c r="A77" s="706">
        <v>21</v>
      </c>
      <c r="B77" s="554" t="s">
        <v>41</v>
      </c>
      <c r="C77" s="520" t="s">
        <v>7</v>
      </c>
      <c r="D77" s="509"/>
      <c r="E77" s="6"/>
      <c r="F77" s="6"/>
      <c r="G77" s="6"/>
      <c r="H77" s="6"/>
      <c r="I77" s="12"/>
      <c r="J77" s="13"/>
    </row>
    <row r="78" spans="1:10" s="4" customFormat="1" ht="15.75">
      <c r="A78" s="707"/>
      <c r="B78" s="555"/>
      <c r="C78" s="708" t="s">
        <v>12</v>
      </c>
      <c r="D78" s="709"/>
      <c r="E78" s="8"/>
      <c r="F78" s="8"/>
      <c r="G78" s="8"/>
      <c r="H78" s="8"/>
      <c r="I78" s="14"/>
      <c r="J78" s="338"/>
    </row>
    <row r="79" spans="1:10" s="4" customFormat="1" ht="15.75">
      <c r="A79" s="15">
        <v>22</v>
      </c>
      <c r="B79" s="491" t="s">
        <v>821</v>
      </c>
      <c r="C79" s="491"/>
      <c r="D79" s="491"/>
      <c r="E79" s="15"/>
      <c r="F79" s="15"/>
      <c r="G79" s="15"/>
      <c r="H79" s="15"/>
      <c r="I79" s="15"/>
      <c r="J79" s="15"/>
    </row>
    <row r="80" spans="1:10" s="4" customFormat="1" ht="15.75">
      <c r="A80" s="15">
        <v>23</v>
      </c>
      <c r="B80" s="491" t="s">
        <v>822</v>
      </c>
      <c r="C80" s="491"/>
      <c r="D80" s="491"/>
      <c r="E80" s="15"/>
      <c r="F80" s="15"/>
      <c r="G80" s="15"/>
      <c r="H80" s="15"/>
      <c r="I80" s="15"/>
      <c r="J80" s="15"/>
    </row>
    <row r="81" spans="1:10" s="4" customFormat="1" ht="15.75">
      <c r="A81" s="15">
        <v>24</v>
      </c>
      <c r="B81" s="491" t="s">
        <v>823</v>
      </c>
      <c r="C81" s="491"/>
      <c r="D81" s="491"/>
      <c r="E81" s="15"/>
      <c r="F81" s="15"/>
      <c r="G81" s="15"/>
      <c r="H81" s="15"/>
      <c r="I81" s="15"/>
      <c r="J81" s="15"/>
    </row>
    <row r="82" spans="1:10" s="4" customFormat="1" ht="15.75">
      <c r="A82" s="15">
        <v>25</v>
      </c>
      <c r="B82" s="491" t="s">
        <v>42</v>
      </c>
      <c r="C82" s="491"/>
      <c r="D82" s="491"/>
      <c r="E82" s="15"/>
      <c r="F82" s="15"/>
      <c r="G82" s="15"/>
      <c r="H82" s="15"/>
      <c r="I82" s="15"/>
      <c r="J82" s="15"/>
    </row>
    <row r="83" spans="1:10" s="4" customFormat="1" ht="15.75">
      <c r="A83" s="15">
        <v>26</v>
      </c>
      <c r="B83" s="491" t="s">
        <v>824</v>
      </c>
      <c r="C83" s="491"/>
      <c r="D83" s="491"/>
      <c r="E83" s="15"/>
      <c r="F83" s="15"/>
      <c r="G83" s="15"/>
      <c r="H83" s="15"/>
      <c r="I83" s="15"/>
      <c r="J83" s="15"/>
    </row>
    <row r="84" spans="1:10" s="4" customFormat="1" ht="15.75">
      <c r="A84" s="15">
        <v>27</v>
      </c>
      <c r="B84" s="491" t="s">
        <v>825</v>
      </c>
      <c r="C84" s="491"/>
      <c r="D84" s="491"/>
      <c r="E84" s="15"/>
      <c r="F84" s="15"/>
      <c r="G84" s="15"/>
      <c r="H84" s="15"/>
      <c r="I84" s="15"/>
      <c r="J84" s="15"/>
    </row>
    <row r="85" spans="1:10" s="4" customFormat="1" ht="15.75">
      <c r="A85" s="344">
        <v>28</v>
      </c>
      <c r="B85" s="695" t="s">
        <v>43</v>
      </c>
      <c r="C85" s="697"/>
      <c r="D85" s="696"/>
      <c r="E85" s="15"/>
      <c r="F85" s="15"/>
      <c r="G85" s="15"/>
      <c r="H85" s="15"/>
      <c r="I85" s="15"/>
      <c r="J85" s="15"/>
    </row>
    <row r="86" spans="1:10" ht="15.75">
      <c r="A86" s="910" t="s">
        <v>5</v>
      </c>
      <c r="B86" s="911"/>
      <c r="C86" s="911"/>
      <c r="D86" s="912"/>
      <c r="E86" s="16"/>
      <c r="F86" s="16"/>
      <c r="G86" s="16"/>
      <c r="H86" s="16"/>
      <c r="I86" s="16"/>
      <c r="J86" s="16"/>
    </row>
    <row r="87" spans="1:10">
      <c r="A87" s="908"/>
      <c r="B87" s="908"/>
      <c r="C87" s="908"/>
      <c r="D87" s="908"/>
      <c r="E87" s="908"/>
      <c r="F87" s="908"/>
      <c r="G87" s="908"/>
      <c r="H87" s="908"/>
      <c r="I87" s="908"/>
      <c r="J87" s="909"/>
    </row>
    <row r="88" spans="1:10" s="17" customFormat="1" ht="40.5" customHeight="1">
      <c r="A88" s="476" t="s">
        <v>46</v>
      </c>
      <c r="B88" s="476"/>
      <c r="C88" s="476"/>
      <c r="D88" s="476"/>
      <c r="E88" s="476"/>
      <c r="F88" s="476"/>
      <c r="G88" s="476"/>
      <c r="H88" s="476"/>
      <c r="I88" s="476"/>
      <c r="J88" s="476"/>
    </row>
    <row r="108" s="1" customFormat="1" ht="15.75" customHeight="1"/>
  </sheetData>
  <mergeCells count="98">
    <mergeCell ref="A1:J1"/>
    <mergeCell ref="A2:J2"/>
    <mergeCell ref="A3:J3"/>
    <mergeCell ref="A4:A5"/>
    <mergeCell ref="B4:D5"/>
    <mergeCell ref="E4:I4"/>
    <mergeCell ref="J4:J5"/>
    <mergeCell ref="A6:A13"/>
    <mergeCell ref="B6:B13"/>
    <mergeCell ref="C6:C9"/>
    <mergeCell ref="C10:C13"/>
    <mergeCell ref="A14:A17"/>
    <mergeCell ref="B14:B17"/>
    <mergeCell ref="C15:C17"/>
    <mergeCell ref="A18:A22"/>
    <mergeCell ref="B18:B22"/>
    <mergeCell ref="C19:C22"/>
    <mergeCell ref="A23:A26"/>
    <mergeCell ref="B23:B26"/>
    <mergeCell ref="C24:C26"/>
    <mergeCell ref="A27:A34"/>
    <mergeCell ref="B27:B34"/>
    <mergeCell ref="C27:C28"/>
    <mergeCell ref="C29:C34"/>
    <mergeCell ref="A35:A38"/>
    <mergeCell ref="B35:B38"/>
    <mergeCell ref="C35:C36"/>
    <mergeCell ref="C37:C38"/>
    <mergeCell ref="A39:A42"/>
    <mergeCell ref="B39:B42"/>
    <mergeCell ref="C39:C40"/>
    <mergeCell ref="C41:C42"/>
    <mergeCell ref="A43:A46"/>
    <mergeCell ref="B43:B46"/>
    <mergeCell ref="C43:C44"/>
    <mergeCell ref="C45:C46"/>
    <mergeCell ref="A47:A50"/>
    <mergeCell ref="B47:B50"/>
    <mergeCell ref="C47:C48"/>
    <mergeCell ref="C49:C50"/>
    <mergeCell ref="A51:A54"/>
    <mergeCell ref="B51:B54"/>
    <mergeCell ref="C51:C52"/>
    <mergeCell ref="C53:C54"/>
    <mergeCell ref="A55:A56"/>
    <mergeCell ref="B55:B56"/>
    <mergeCell ref="C55:D55"/>
    <mergeCell ref="C56:D56"/>
    <mergeCell ref="A57:A58"/>
    <mergeCell ref="B57:B58"/>
    <mergeCell ref="C57:D57"/>
    <mergeCell ref="C58:D58"/>
    <mergeCell ref="A59:A60"/>
    <mergeCell ref="B59:B60"/>
    <mergeCell ref="C59:D59"/>
    <mergeCell ref="C60:D60"/>
    <mergeCell ref="A61:A64"/>
    <mergeCell ref="B61:B64"/>
    <mergeCell ref="C61:C62"/>
    <mergeCell ref="C63:C64"/>
    <mergeCell ref="A65:A66"/>
    <mergeCell ref="B65:B66"/>
    <mergeCell ref="C65:D65"/>
    <mergeCell ref="C66:D66"/>
    <mergeCell ref="A67:A68"/>
    <mergeCell ref="B67:B68"/>
    <mergeCell ref="C67:D67"/>
    <mergeCell ref="C68:D68"/>
    <mergeCell ref="A69:A70"/>
    <mergeCell ref="B69:B70"/>
    <mergeCell ref="C69:D69"/>
    <mergeCell ref="C70:D70"/>
    <mergeCell ref="A71:A72"/>
    <mergeCell ref="B71:B72"/>
    <mergeCell ref="C71:D71"/>
    <mergeCell ref="C72:D72"/>
    <mergeCell ref="B80:D80"/>
    <mergeCell ref="A73:A74"/>
    <mergeCell ref="B73:B74"/>
    <mergeCell ref="C73:D73"/>
    <mergeCell ref="C74:D74"/>
    <mergeCell ref="A75:A76"/>
    <mergeCell ref="B75:B76"/>
    <mergeCell ref="C75:D75"/>
    <mergeCell ref="C76:D76"/>
    <mergeCell ref="A77:A78"/>
    <mergeCell ref="B77:B78"/>
    <mergeCell ref="C77:D77"/>
    <mergeCell ref="C78:D78"/>
    <mergeCell ref="B79:D79"/>
    <mergeCell ref="A87:J87"/>
    <mergeCell ref="A88:J88"/>
    <mergeCell ref="B81:D81"/>
    <mergeCell ref="B82:D82"/>
    <mergeCell ref="B83:D83"/>
    <mergeCell ref="B84:D84"/>
    <mergeCell ref="B85:D85"/>
    <mergeCell ref="A86:D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Prop. Budg.</vt:lpstr>
      <vt:lpstr>Sheet1</vt:lpstr>
      <vt:lpstr>Sheet2</vt:lpstr>
      <vt:lpstr>Eng</vt:lpstr>
      <vt:lpstr>DO</vt:lpstr>
      <vt:lpstr>CoE</vt:lpstr>
      <vt:lpstr>CSE &amp; Allied</vt:lpstr>
      <vt:lpstr>Phy</vt:lpstr>
      <vt:lpstr>RO</vt:lpstr>
      <vt:lpstr>PE</vt:lpstr>
      <vt:lpstr>Proc.</vt:lpstr>
      <vt:lpstr>Chem.</vt:lpstr>
      <vt:lpstr>CETLI</vt:lpstr>
      <vt:lpstr>EECE</vt:lpstr>
      <vt:lpstr>Lib.</vt:lpstr>
      <vt:lpstr>R&amp;D</vt:lpstr>
      <vt:lpstr>SDC</vt:lpstr>
      <vt:lpstr>SA</vt:lpstr>
      <vt:lpstr>SAP.</vt:lpstr>
      <vt:lpstr>ICT</vt:lpstr>
      <vt:lpstr>VC Office</vt:lpstr>
      <vt:lpstr>Maths</vt:lpstr>
      <vt:lpstr>IIR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c:creator>
  <cp:lastModifiedBy>SU</cp:lastModifiedBy>
  <cp:lastPrinted>2026-04-06T09:27:54Z</cp:lastPrinted>
  <dcterms:created xsi:type="dcterms:W3CDTF">2015-06-05T18:17:20Z</dcterms:created>
  <dcterms:modified xsi:type="dcterms:W3CDTF">2026-04-09T04:42:32Z</dcterms:modified>
</cp:coreProperties>
</file>